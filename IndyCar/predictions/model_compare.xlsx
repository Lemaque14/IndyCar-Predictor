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a_\Desktop\Programing\IndyCar_Project\IndyCar\predictions\"/>
    </mc:Choice>
  </mc:AlternateContent>
  <xr:revisionPtr revIDLastSave="0" documentId="13_ncr:1_{D79064C1-D40F-499D-8B73-BC87BDB142F3}" xr6:coauthVersionLast="47" xr6:coauthVersionMax="47" xr10:uidLastSave="{00000000-0000-0000-0000-000000000000}"/>
  <bookViews>
    <workbookView xWindow="-96" yWindow="-96" windowWidth="23232" windowHeight="12432" firstSheet="2" activeTab="3" xr2:uid="{74EB7EE7-EB5C-4423-87E4-FE46F1C4926A}"/>
  </bookViews>
  <sheets>
    <sheet name="Pre-Qualy_Model" sheetId="1" r:id="rId1"/>
    <sheet name="Post-Qualy_Model" sheetId="2" r:id="rId2"/>
    <sheet name="Pre-Qualy Results" sheetId="3" r:id="rId3"/>
    <sheet name="Post-Qualy Results" sheetId="4" r:id="rId4"/>
  </sheets>
  <definedNames>
    <definedName name="_xlnm._FilterDatabase" localSheetId="3" hidden="1">'Post-Qualy Results'!$A$1:$L$101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4" l="1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02" i="4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02" i="3"/>
  <c r="G30" i="1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2" i="4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77" i="3"/>
</calcChain>
</file>

<file path=xl/sharedStrings.xml><?xml version="1.0" encoding="utf-8"?>
<sst xmlns="http://schemas.openxmlformats.org/spreadsheetml/2006/main" count="1118" uniqueCount="89">
  <si>
    <t>Model</t>
  </si>
  <si>
    <t>MAE</t>
  </si>
  <si>
    <t>Training Data Results</t>
  </si>
  <si>
    <t>R2</t>
  </si>
  <si>
    <t>GBR</t>
  </si>
  <si>
    <t>Testing Seen Data Results</t>
  </si>
  <si>
    <t>Testing Unseen Data Results</t>
  </si>
  <si>
    <t>Training Data Results (Tuned)</t>
  </si>
  <si>
    <t>Cat</t>
  </si>
  <si>
    <t>LightGBM</t>
  </si>
  <si>
    <t>RF</t>
  </si>
  <si>
    <t>RF_LGBM</t>
  </si>
  <si>
    <t>RF_LGBM_GBR</t>
  </si>
  <si>
    <t>all 4</t>
  </si>
  <si>
    <t>RF_CAT</t>
  </si>
  <si>
    <t>RF_LGBM_CAT</t>
  </si>
  <si>
    <t>et</t>
  </si>
  <si>
    <t>rf</t>
  </si>
  <si>
    <t>gbr</t>
  </si>
  <si>
    <t>cat</t>
  </si>
  <si>
    <t>lgbm</t>
  </si>
  <si>
    <t>rf_lgbm</t>
  </si>
  <si>
    <t>rf_lgbm_cat</t>
  </si>
  <si>
    <t>br_et_rf</t>
  </si>
  <si>
    <t>br</t>
  </si>
  <si>
    <t>Marcus Armstrong</t>
  </si>
  <si>
    <t>Caio Collet</t>
  </si>
  <si>
    <t>Scott Dixon</t>
  </si>
  <si>
    <t>Marcus Ericsson</t>
  </si>
  <si>
    <t>Santino Ferrucci</t>
  </si>
  <si>
    <t>Louis Foster</t>
  </si>
  <si>
    <t>Romain Grosjean</t>
  </si>
  <si>
    <t>Dennis Hauger</t>
  </si>
  <si>
    <t>Kyle Kirkwood</t>
  </si>
  <si>
    <t>Christian Lundgaard</t>
  </si>
  <si>
    <t>David Malukas</t>
  </si>
  <si>
    <t>Scott McLaughlin</t>
  </si>
  <si>
    <t>Josef Newgarden</t>
  </si>
  <si>
    <t>Pato O'Ward</t>
  </si>
  <si>
    <t>Alex Palou</t>
  </si>
  <si>
    <t>Will Power</t>
  </si>
  <si>
    <t>Graham Rahal</t>
  </si>
  <si>
    <t>Christian Rasmussen</t>
  </si>
  <si>
    <t>Sting Ray Robb</t>
  </si>
  <si>
    <t>Felix Rosenqvist</t>
  </si>
  <si>
    <t>Alexander Rossi</t>
  </si>
  <si>
    <t>Mick Schumacher</t>
  </si>
  <si>
    <t>Nolan Siegel</t>
  </si>
  <si>
    <t>Kyffin Simpson</t>
  </si>
  <si>
    <t>Rinus VeeKay</t>
  </si>
  <si>
    <t>ID</t>
  </si>
  <si>
    <t>Non-ID</t>
  </si>
  <si>
    <t>all6</t>
  </si>
  <si>
    <t>cat_lgbm_br</t>
  </si>
  <si>
    <t>rf_cat</t>
  </si>
  <si>
    <t>all5</t>
  </si>
  <si>
    <t>lgbm_gbr_rf</t>
  </si>
  <si>
    <t>lgbm_cat</t>
  </si>
  <si>
    <t>LGBM_CAT</t>
  </si>
  <si>
    <t>lgbm_gbr</t>
  </si>
  <si>
    <t>all4</t>
  </si>
  <si>
    <t>cat_gbr</t>
  </si>
  <si>
    <t>rf_tune</t>
  </si>
  <si>
    <t>gbr_tune</t>
  </si>
  <si>
    <t>cat_tune</t>
  </si>
  <si>
    <t>lgbm_tune</t>
  </si>
  <si>
    <t>Driver</t>
  </si>
  <si>
    <t>RawScore</t>
  </si>
  <si>
    <t>MyRawScore</t>
  </si>
  <si>
    <t>ModelRank</t>
  </si>
  <si>
    <t>MyRank</t>
  </si>
  <si>
    <t>ActualFinish</t>
  </si>
  <si>
    <t>Track</t>
  </si>
  <si>
    <t>TrackType</t>
  </si>
  <si>
    <t>Phase</t>
  </si>
  <si>
    <t>Barber Motorsports Park</t>
  </si>
  <si>
    <t>Road</t>
  </si>
  <si>
    <t>Pre-Qualy</t>
  </si>
  <si>
    <t>High</t>
  </si>
  <si>
    <t>Low</t>
  </si>
  <si>
    <t>ModelMAE</t>
  </si>
  <si>
    <t>Streets of Arlington</t>
  </si>
  <si>
    <t>Street</t>
  </si>
  <si>
    <t>Streets of St. Petersburg</t>
  </si>
  <si>
    <t>Phoenix Raceway</t>
  </si>
  <si>
    <t>Oval</t>
  </si>
  <si>
    <t>Post-Qualy</t>
  </si>
  <si>
    <t>XGB</t>
  </si>
  <si>
    <t>Streets of 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</si>
</sst>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16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2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2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6913-6699-4642-91DA-EC5EA358EA79}">
  <dimension ref="A1:J31"/>
  <sheetViews>
    <sheetView topLeftCell="A8" workbookViewId="0">
      <selection activeCell="G30" sqref="G30"/>
    </sheetView>
  </sheetViews>
  <sheetFormatPr defaultRowHeight="14.4" x14ac:dyDescent="0.55000000000000004"/>
  <cols>
    <col min="1" max="1" width="12.3671875" bestFit="1" customWidth="1"/>
    <col min="2" max="3" width="9.26171875" customWidth="1"/>
  </cols>
  <sheetData>
    <row r="1" spans="1:10" ht="36.299999999999997" customHeight="1" x14ac:dyDescent="0.55000000000000004">
      <c r="A1" s="2" t="s">
        <v>0</v>
      </c>
      <c r="B1" s="12" t="s">
        <v>2</v>
      </c>
      <c r="C1" s="13"/>
      <c r="D1" s="10" t="s">
        <v>7</v>
      </c>
      <c r="E1" s="10"/>
      <c r="F1" s="11" t="s">
        <v>5</v>
      </c>
      <c r="G1" s="11"/>
      <c r="H1" s="11" t="s">
        <v>6</v>
      </c>
      <c r="I1" s="11"/>
      <c r="J1" t="s">
        <v>51</v>
      </c>
    </row>
    <row r="2" spans="1:10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10" x14ac:dyDescent="0.55000000000000004">
      <c r="A3" s="1" t="s">
        <v>87</v>
      </c>
      <c r="B3" s="1">
        <v>0.24779999999999999</v>
      </c>
      <c r="C3" s="1">
        <v>3.5400000000000001E-2</v>
      </c>
      <c r="D3" s="1">
        <v>0.2576</v>
      </c>
      <c r="E3" s="1">
        <v>2.2200000000000001E-2</v>
      </c>
      <c r="F3" s="1">
        <v>0.2208</v>
      </c>
      <c r="G3" s="1">
        <v>0.20200000000000001</v>
      </c>
      <c r="H3" s="1">
        <v>0.22900000000000001</v>
      </c>
      <c r="I3" s="1">
        <v>0.13220000000000001</v>
      </c>
    </row>
    <row r="4" spans="1:10" x14ac:dyDescent="0.55000000000000004">
      <c r="A4" s="1" t="s">
        <v>10</v>
      </c>
      <c r="B4" s="1">
        <v>0.2427</v>
      </c>
      <c r="C4" s="1">
        <v>9.0700000000000003E-2</v>
      </c>
      <c r="D4" s="1">
        <v>0.23599999999999999</v>
      </c>
      <c r="E4" s="1">
        <v>0.13930000000000001</v>
      </c>
      <c r="F4" s="1">
        <v>0.21579999999999999</v>
      </c>
      <c r="G4" s="1">
        <v>0.251</v>
      </c>
      <c r="H4" s="1">
        <v>0.22170000000000001</v>
      </c>
      <c r="I4" s="1">
        <v>0.2039</v>
      </c>
    </row>
    <row r="5" spans="1:10" x14ac:dyDescent="0.55000000000000004">
      <c r="A5" s="1" t="s">
        <v>4</v>
      </c>
      <c r="B5" s="1">
        <v>0.24329999999999999</v>
      </c>
      <c r="C5" s="1">
        <v>6.83E-2</v>
      </c>
      <c r="D5" s="1">
        <v>0.24079999999999999</v>
      </c>
      <c r="E5" s="1">
        <v>0.1186</v>
      </c>
      <c r="F5" s="1">
        <v>0.22370000000000001</v>
      </c>
      <c r="G5" s="1">
        <v>0.22170000000000001</v>
      </c>
      <c r="H5" s="1">
        <v>0.22800000000000001</v>
      </c>
      <c r="I5" s="1">
        <v>0.1794</v>
      </c>
    </row>
    <row r="6" spans="1:10" x14ac:dyDescent="0.55000000000000004">
      <c r="A6" s="1" t="s">
        <v>8</v>
      </c>
      <c r="B6" s="1">
        <v>0.24610000000000001</v>
      </c>
      <c r="C6" s="1">
        <v>4.9500000000000002E-2</v>
      </c>
      <c r="D6" s="1">
        <v>0.23760000000000001</v>
      </c>
      <c r="E6" s="1">
        <v>0.12139999999999999</v>
      </c>
      <c r="F6" s="1">
        <v>0.2137</v>
      </c>
      <c r="G6" s="1">
        <v>0.25030000000000002</v>
      </c>
      <c r="H6" s="1">
        <v>0.21840000000000001</v>
      </c>
      <c r="I6" s="1">
        <v>0.19309999999999999</v>
      </c>
    </row>
    <row r="7" spans="1:10" x14ac:dyDescent="0.55000000000000004">
      <c r="A7" s="1" t="s">
        <v>9</v>
      </c>
      <c r="B7" s="1">
        <v>0.2477</v>
      </c>
      <c r="C7" s="1">
        <v>1.6899999999999998E-2</v>
      </c>
      <c r="D7" s="1">
        <v>0.2364</v>
      </c>
      <c r="E7" s="1">
        <v>0.13469999999999999</v>
      </c>
      <c r="F7" s="1">
        <v>0.2147</v>
      </c>
      <c r="G7" s="1">
        <v>0.25440000000000002</v>
      </c>
      <c r="H7" s="1">
        <v>0.22020000000000001</v>
      </c>
      <c r="I7" s="1">
        <v>0.1993</v>
      </c>
    </row>
    <row r="8" spans="1:10" x14ac:dyDescent="0.55000000000000004">
      <c r="A8" s="1" t="s">
        <v>11</v>
      </c>
      <c r="B8" s="1">
        <v>0.23580000000000001</v>
      </c>
      <c r="C8" s="1">
        <v>0.14030000000000001</v>
      </c>
      <c r="D8" s="1">
        <v>0.23580000000000001</v>
      </c>
      <c r="E8" s="1">
        <v>0.14069999999999999</v>
      </c>
      <c r="F8" s="1">
        <v>0.2152</v>
      </c>
      <c r="G8" s="1">
        <v>0.25369999999999998</v>
      </c>
      <c r="H8" s="1">
        <v>0.22109999999999999</v>
      </c>
      <c r="I8" s="1">
        <v>0.2036</v>
      </c>
    </row>
    <row r="9" spans="1:10" x14ac:dyDescent="0.55000000000000004">
      <c r="A9" s="1" t="s">
        <v>12</v>
      </c>
      <c r="B9" s="1">
        <v>0.23719999999999999</v>
      </c>
      <c r="C9" s="1">
        <v>0.13639999999999999</v>
      </c>
      <c r="D9" s="1">
        <v>0.2366</v>
      </c>
      <c r="E9" s="1">
        <v>0.13830000000000001</v>
      </c>
      <c r="F9" s="1">
        <v>0.2167</v>
      </c>
      <c r="G9" s="1">
        <v>0.25030000000000002</v>
      </c>
      <c r="H9" s="1">
        <v>0.22209999999999999</v>
      </c>
      <c r="I9" s="1">
        <v>0.20039999999999999</v>
      </c>
    </row>
    <row r="10" spans="1:10" x14ac:dyDescent="0.55000000000000004">
      <c r="A10" s="1" t="s">
        <v>13</v>
      </c>
      <c r="B10" s="1">
        <v>0.23699999999999999</v>
      </c>
      <c r="C10" s="1">
        <v>0.13550000000000001</v>
      </c>
      <c r="D10" s="1">
        <v>0.23649999999999999</v>
      </c>
      <c r="E10" s="1">
        <v>0.13650000000000001</v>
      </c>
      <c r="F10" s="1">
        <v>0.21510000000000001</v>
      </c>
      <c r="G10" s="1">
        <v>0.25409999999999999</v>
      </c>
      <c r="H10" s="1">
        <v>0.2203</v>
      </c>
      <c r="I10" s="1">
        <v>0.2011</v>
      </c>
    </row>
    <row r="12" spans="1:10" ht="31.8" customHeight="1" x14ac:dyDescent="0.55000000000000004">
      <c r="A12" s="2" t="s">
        <v>0</v>
      </c>
      <c r="B12" s="12" t="s">
        <v>2</v>
      </c>
      <c r="C12" s="13"/>
      <c r="D12" s="10" t="s">
        <v>7</v>
      </c>
      <c r="E12" s="10"/>
      <c r="F12" s="11" t="s">
        <v>5</v>
      </c>
      <c r="G12" s="11"/>
      <c r="H12" s="11" t="s">
        <v>6</v>
      </c>
      <c r="I12" s="11"/>
      <c r="J12" t="s">
        <v>50</v>
      </c>
    </row>
    <row r="13" spans="1:10" x14ac:dyDescent="0.55000000000000004">
      <c r="A13" s="1"/>
      <c r="B13" s="1" t="s">
        <v>1</v>
      </c>
      <c r="C13" s="1" t="s">
        <v>3</v>
      </c>
      <c r="D13" s="1" t="s">
        <v>1</v>
      </c>
      <c r="E13" s="1" t="s">
        <v>3</v>
      </c>
      <c r="F13" s="1" t="s">
        <v>1</v>
      </c>
      <c r="G13" s="1" t="s">
        <v>3</v>
      </c>
      <c r="H13" s="1" t="s">
        <v>1</v>
      </c>
      <c r="I13" s="1" t="s">
        <v>3</v>
      </c>
    </row>
    <row r="14" spans="1:10" x14ac:dyDescent="0.55000000000000004">
      <c r="A14" s="1" t="s">
        <v>87</v>
      </c>
      <c r="B14" s="1">
        <v>0.2475</v>
      </c>
      <c r="C14" s="1">
        <v>3.8199999999999998E-2</v>
      </c>
      <c r="D14" s="1">
        <v>0.2576</v>
      </c>
      <c r="E14" s="1">
        <v>2.2200000000000001E-2</v>
      </c>
      <c r="F14" s="1">
        <v>0.2248</v>
      </c>
      <c r="G14" s="1">
        <v>0.1782</v>
      </c>
      <c r="H14" s="1">
        <v>0.2321</v>
      </c>
      <c r="I14" s="1">
        <v>0.1192</v>
      </c>
    </row>
    <row r="15" spans="1:10" x14ac:dyDescent="0.55000000000000004">
      <c r="A15" s="1" t="s">
        <v>10</v>
      </c>
      <c r="B15" s="1">
        <v>0.24349999999999999</v>
      </c>
      <c r="C15" s="1">
        <v>8.4599999999999995E-2</v>
      </c>
      <c r="D15" s="1">
        <v>0.2361</v>
      </c>
      <c r="E15" s="1">
        <v>0.13930000000000001</v>
      </c>
      <c r="F15" s="1">
        <v>0.21659999999999999</v>
      </c>
      <c r="G15" s="1">
        <v>0.2492</v>
      </c>
      <c r="H15" s="1">
        <v>0.22140000000000001</v>
      </c>
      <c r="I15" s="1">
        <v>0.20899999999999999</v>
      </c>
    </row>
    <row r="16" spans="1:10" x14ac:dyDescent="0.55000000000000004">
      <c r="A16" s="1" t="s">
        <v>4</v>
      </c>
      <c r="B16" s="1">
        <v>0.24379999999999999</v>
      </c>
      <c r="C16" s="1">
        <v>6.1800000000000001E-2</v>
      </c>
      <c r="D16" s="1">
        <v>0.24030000000000001</v>
      </c>
      <c r="E16" s="1">
        <v>0.11940000000000001</v>
      </c>
      <c r="F16" s="1">
        <v>0.21870000000000001</v>
      </c>
      <c r="G16" s="1">
        <v>0.22989999999999999</v>
      </c>
      <c r="H16" s="1">
        <v>0.22739999999999999</v>
      </c>
      <c r="I16" s="1">
        <v>0.18379999999999999</v>
      </c>
    </row>
    <row r="17" spans="1:9" x14ac:dyDescent="0.55000000000000004">
      <c r="A17" s="1" t="s">
        <v>8</v>
      </c>
      <c r="B17" s="1">
        <v>0.24540000000000001</v>
      </c>
      <c r="C17" s="1">
        <v>4.8500000000000001E-2</v>
      </c>
      <c r="D17" s="1">
        <v>0.23619999999999999</v>
      </c>
      <c r="E17" s="1">
        <v>0.12959999999999999</v>
      </c>
      <c r="F17" s="1">
        <v>0.21279999999999999</v>
      </c>
      <c r="G17" s="1">
        <v>0.25569999999999998</v>
      </c>
      <c r="H17" s="1">
        <v>0.21859999999999999</v>
      </c>
      <c r="I17" s="1">
        <v>0.19789999999999999</v>
      </c>
    </row>
    <row r="18" spans="1:9" x14ac:dyDescent="0.55000000000000004">
      <c r="A18" s="1" t="s">
        <v>9</v>
      </c>
      <c r="B18" s="1">
        <v>0.24879999999999999</v>
      </c>
      <c r="C18" s="1">
        <v>-1.9E-3</v>
      </c>
      <c r="D18" s="1">
        <v>0.23580000000000001</v>
      </c>
      <c r="E18" s="1">
        <v>0.1399</v>
      </c>
      <c r="F18" s="1">
        <v>0.2142</v>
      </c>
      <c r="G18" s="1">
        <v>0.25230000000000002</v>
      </c>
      <c r="H18" s="1">
        <v>0.22040000000000001</v>
      </c>
      <c r="I18" s="1">
        <v>0.1983</v>
      </c>
    </row>
    <row r="19" spans="1:9" x14ac:dyDescent="0.55000000000000004">
      <c r="A19" s="1" t="s">
        <v>21</v>
      </c>
      <c r="B19" s="1">
        <v>0.2356</v>
      </c>
      <c r="C19" s="1">
        <v>0.1429</v>
      </c>
      <c r="D19" s="1">
        <v>0.2356</v>
      </c>
      <c r="E19" s="1">
        <v>0.14280000000000001</v>
      </c>
      <c r="F19" s="1">
        <v>0.2152</v>
      </c>
      <c r="G19" s="1">
        <v>0.25259999999999999</v>
      </c>
      <c r="H19" s="1">
        <v>0.22090000000000001</v>
      </c>
      <c r="I19" s="1">
        <v>0.20549999999999999</v>
      </c>
    </row>
    <row r="20" spans="1:9" x14ac:dyDescent="0.55000000000000004">
      <c r="A20" s="1" t="s">
        <v>15</v>
      </c>
      <c r="B20" s="1">
        <v>0.2354</v>
      </c>
      <c r="C20" s="1">
        <v>0.14199999999999999</v>
      </c>
      <c r="D20" s="1">
        <v>0.23549999999999999</v>
      </c>
      <c r="E20" s="1">
        <v>0.14299999999999999</v>
      </c>
      <c r="F20" s="1">
        <v>0.21429999999999999</v>
      </c>
      <c r="G20" s="1">
        <v>0.25559999999999999</v>
      </c>
      <c r="H20" s="1">
        <v>0.2205</v>
      </c>
      <c r="I20" s="1">
        <v>0.20569999999999999</v>
      </c>
    </row>
    <row r="21" spans="1:9" x14ac:dyDescent="0.55000000000000004">
      <c r="A21" s="1" t="s">
        <v>12</v>
      </c>
      <c r="B21" s="1">
        <v>0.23680000000000001</v>
      </c>
      <c r="C21" s="1">
        <v>0.1386</v>
      </c>
      <c r="D21" s="1">
        <v>0.23630000000000001</v>
      </c>
      <c r="E21" s="1">
        <v>0.14069999999999999</v>
      </c>
      <c r="F21" s="1">
        <v>0.21679999999999999</v>
      </c>
      <c r="G21" s="1">
        <v>0.24829999999999999</v>
      </c>
      <c r="H21" s="1">
        <v>0.222</v>
      </c>
      <c r="I21" s="1">
        <v>0.20369999999999999</v>
      </c>
    </row>
    <row r="22" spans="1:9" x14ac:dyDescent="0.55000000000000004">
      <c r="A22" s="1" t="s">
        <v>13</v>
      </c>
      <c r="B22" s="1">
        <v>0.23630000000000001</v>
      </c>
      <c r="C22" s="1">
        <v>0.13969999999999999</v>
      </c>
      <c r="D22" s="1">
        <v>0.23569999999999999</v>
      </c>
      <c r="E22" s="1">
        <v>0.1416</v>
      </c>
      <c r="F22" s="1">
        <v>0.21490000000000001</v>
      </c>
      <c r="G22" s="1">
        <v>0.254</v>
      </c>
      <c r="H22" s="1">
        <v>0.2205</v>
      </c>
      <c r="I22" s="1">
        <v>0.2039</v>
      </c>
    </row>
    <row r="23" spans="1:9" x14ac:dyDescent="0.55000000000000004">
      <c r="A23" s="3" t="s">
        <v>14</v>
      </c>
      <c r="B23" s="1">
        <v>0.23569999999999999</v>
      </c>
      <c r="C23" s="1">
        <v>0.1389</v>
      </c>
      <c r="D23" s="1">
        <v>0.2359</v>
      </c>
      <c r="E23" s="1">
        <v>0.14030000000000001</v>
      </c>
      <c r="F23" s="1">
        <v>0.2145</v>
      </c>
      <c r="G23" s="1">
        <v>0.25490000000000002</v>
      </c>
      <c r="H23" s="1">
        <v>0.21970000000000001</v>
      </c>
      <c r="I23" s="1">
        <v>0.20610000000000001</v>
      </c>
    </row>
    <row r="24" spans="1:9" x14ac:dyDescent="0.55000000000000004">
      <c r="A24" s="1" t="s">
        <v>58</v>
      </c>
      <c r="B24" s="1">
        <v>0.23549999999999999</v>
      </c>
      <c r="C24" s="1">
        <v>0.14000000000000001</v>
      </c>
      <c r="D24" s="1">
        <v>0.23549999999999999</v>
      </c>
      <c r="E24" s="1">
        <v>0.14119999999999999</v>
      </c>
      <c r="F24" s="1">
        <v>0.21329999999999999</v>
      </c>
      <c r="G24" s="1">
        <v>0.25690000000000002</v>
      </c>
      <c r="H24" s="1">
        <v>0.21909999999999999</v>
      </c>
      <c r="I24" s="1">
        <v>0.2019</v>
      </c>
    </row>
    <row r="25" spans="1:9" x14ac:dyDescent="0.55000000000000004">
      <c r="B25" t="s">
        <v>62</v>
      </c>
      <c r="C25" t="s">
        <v>63</v>
      </c>
      <c r="D25" t="s">
        <v>64</v>
      </c>
      <c r="E25" t="s">
        <v>65</v>
      </c>
    </row>
    <row r="26" spans="1:9" x14ac:dyDescent="0.55000000000000004">
      <c r="D26" t="s">
        <v>1</v>
      </c>
      <c r="E26" t="s">
        <v>3</v>
      </c>
    </row>
    <row r="27" spans="1:9" x14ac:dyDescent="0.55000000000000004">
      <c r="A27" s="4">
        <v>46085</v>
      </c>
      <c r="B27" t="s">
        <v>12</v>
      </c>
      <c r="D27">
        <v>0.2293</v>
      </c>
      <c r="E27">
        <v>0.13789999999999999</v>
      </c>
    </row>
    <row r="28" spans="1:9" x14ac:dyDescent="0.55000000000000004">
      <c r="A28" s="4">
        <v>46090</v>
      </c>
      <c r="B28" t="s">
        <v>8</v>
      </c>
      <c r="D28">
        <v>0.223</v>
      </c>
      <c r="E28">
        <v>0.1744</v>
      </c>
    </row>
    <row r="29" spans="1:9" x14ac:dyDescent="0.55000000000000004">
      <c r="A29" s="4">
        <v>46098</v>
      </c>
      <c r="B29" t="s">
        <v>14</v>
      </c>
      <c r="D29">
        <v>0.22220000000000001</v>
      </c>
      <c r="E29">
        <v>0.19389999999999999</v>
      </c>
    </row>
    <row r="30" spans="1:9" x14ac:dyDescent="0.55000000000000004">
      <c r="A30" s="4">
        <v>46112</v>
      </c>
      <c r="B30" t="s">
        <v>14</v>
      </c>
      <c r="D30">
        <v>0.21970000000000001</v>
      </c>
      <c r="E30">
        <v>0.20610000000000001</v>
      </c>
      <c r="G30" s="5">
        <f>D30*25</f>
        <v>5.4924999999999997</v>
      </c>
    </row>
    <row r="31" spans="1:9" x14ac:dyDescent="0.55000000000000004">
      <c r="E31" s="5"/>
    </row>
  </sheetData>
  <mergeCells count="8">
    <mergeCell ref="D1:E1"/>
    <mergeCell ref="F1:G1"/>
    <mergeCell ref="H1:I1"/>
    <mergeCell ref="B1:C1"/>
    <mergeCell ref="B12:C12"/>
    <mergeCell ref="D12:E12"/>
    <mergeCell ref="F12:G12"/>
    <mergeCell ref="H12:I12"/>
  </mergeCells>
  <conditionalFormatting sqref="B3:B10">
    <cfRule type="top10" dxfId="24" priority="57" bottom="1" rank="1"/>
  </conditionalFormatting>
  <conditionalFormatting sqref="B14:B24">
    <cfRule type="top10" dxfId="23" priority="99" bottom="1" rank="1"/>
  </conditionalFormatting>
  <conditionalFormatting sqref="C3:C10">
    <cfRule type="top10" dxfId="22" priority="56" rank="1"/>
  </conditionalFormatting>
  <conditionalFormatting sqref="C14:C24">
    <cfRule type="top10" dxfId="21" priority="101" rank="1"/>
  </conditionalFormatting>
  <conditionalFormatting sqref="D3:D10">
    <cfRule type="top10" dxfId="20" priority="12" bottom="1" rank="1"/>
  </conditionalFormatting>
  <conditionalFormatting sqref="D14:D24">
    <cfRule type="top10" dxfId="19" priority="6" bottom="1" rank="1"/>
  </conditionalFormatting>
  <conditionalFormatting sqref="E3:E10">
    <cfRule type="top10" dxfId="18" priority="9" rank="1"/>
  </conditionalFormatting>
  <conditionalFormatting sqref="E14:E24">
    <cfRule type="top10" dxfId="17" priority="3" rank="1"/>
  </conditionalFormatting>
  <conditionalFormatting sqref="F3:F10">
    <cfRule type="top10" dxfId="16" priority="11" bottom="1" rank="1"/>
  </conditionalFormatting>
  <conditionalFormatting sqref="F14:F24">
    <cfRule type="top10" dxfId="15" priority="5" bottom="1" rank="1"/>
  </conditionalFormatting>
  <conditionalFormatting sqref="G3:G10">
    <cfRule type="top10" dxfId="14" priority="8" rank="1"/>
  </conditionalFormatting>
  <conditionalFormatting sqref="G14:G24">
    <cfRule type="top10" dxfId="13" priority="2" rank="1"/>
  </conditionalFormatting>
  <conditionalFormatting sqref="H3:H10">
    <cfRule type="top10" dxfId="12" priority="10" bottom="1" rank="1"/>
  </conditionalFormatting>
  <conditionalFormatting sqref="H14:H24">
    <cfRule type="top10" dxfId="11" priority="4" bottom="1" rank="1"/>
  </conditionalFormatting>
  <conditionalFormatting sqref="I3:I10">
    <cfRule type="top10" dxfId="10" priority="7" rank="1"/>
  </conditionalFormatting>
  <conditionalFormatting sqref="I14:I24">
    <cfRule type="top10" dxfId="9" priority="1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0BC0-64DC-411B-A1B1-FAD28F14CD71}">
  <dimension ref="A1:I25"/>
  <sheetViews>
    <sheetView workbookViewId="0">
      <selection activeCell="E25" sqref="E25"/>
    </sheetView>
  </sheetViews>
  <sheetFormatPr defaultRowHeight="14.4" x14ac:dyDescent="0.55000000000000004"/>
  <cols>
    <col min="1" max="1" width="10.20703125" bestFit="1" customWidth="1"/>
    <col min="2" max="2" width="10.578125" customWidth="1"/>
  </cols>
  <sheetData>
    <row r="1" spans="1:9" ht="34.200000000000003" customHeight="1" x14ac:dyDescent="0.55000000000000004">
      <c r="A1" s="2" t="s">
        <v>0</v>
      </c>
      <c r="B1" s="12" t="s">
        <v>2</v>
      </c>
      <c r="C1" s="13"/>
      <c r="D1" s="10" t="s">
        <v>7</v>
      </c>
      <c r="E1" s="10"/>
      <c r="F1" s="11" t="s">
        <v>5</v>
      </c>
      <c r="G1" s="11"/>
      <c r="H1" s="11" t="s">
        <v>6</v>
      </c>
      <c r="I1" s="11"/>
    </row>
    <row r="2" spans="1:9" x14ac:dyDescent="0.55000000000000004">
      <c r="A2" s="1"/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3</v>
      </c>
      <c r="H2" s="1" t="s">
        <v>1</v>
      </c>
      <c r="I2" s="1" t="s">
        <v>3</v>
      </c>
    </row>
    <row r="3" spans="1:9" x14ac:dyDescent="0.55000000000000004">
      <c r="A3" s="1" t="s">
        <v>16</v>
      </c>
      <c r="B3" s="1">
        <v>0.2349</v>
      </c>
      <c r="C3" s="1">
        <v>0.13819999999999999</v>
      </c>
      <c r="D3" s="1">
        <v>0.23119999999999999</v>
      </c>
      <c r="E3" s="1">
        <v>0.16539999999999999</v>
      </c>
      <c r="F3" s="1">
        <v>0.2152</v>
      </c>
      <c r="G3" s="1">
        <v>0.25700000000000001</v>
      </c>
      <c r="H3" s="1">
        <v>0.21540000000000001</v>
      </c>
      <c r="I3" s="1">
        <v>0.2346</v>
      </c>
    </row>
    <row r="4" spans="1:9" x14ac:dyDescent="0.55000000000000004">
      <c r="A4" s="1" t="s">
        <v>17</v>
      </c>
      <c r="B4" s="1">
        <v>0.2364</v>
      </c>
      <c r="C4" s="1">
        <v>0.12909999999999999</v>
      </c>
      <c r="D4" s="1">
        <v>0.2319</v>
      </c>
      <c r="E4" s="1">
        <v>0.16619999999999999</v>
      </c>
      <c r="F4" s="1">
        <v>0.21249999999999999</v>
      </c>
      <c r="G4" s="1">
        <v>0.27650000000000002</v>
      </c>
      <c r="H4" s="1">
        <v>0.21279999999999999</v>
      </c>
      <c r="I4" s="1">
        <v>0.26069999999999999</v>
      </c>
    </row>
    <row r="5" spans="1:9" x14ac:dyDescent="0.55000000000000004">
      <c r="A5" s="1" t="s">
        <v>18</v>
      </c>
      <c r="B5" s="1">
        <v>0.23749999999999999</v>
      </c>
      <c r="C5" s="1">
        <v>9.7600000000000006E-2</v>
      </c>
      <c r="D5" s="1">
        <v>0.2364</v>
      </c>
      <c r="E5" s="1">
        <v>0.14749999999999999</v>
      </c>
      <c r="F5" s="1">
        <v>0.2117</v>
      </c>
      <c r="G5" s="1">
        <v>0.26329999999999998</v>
      </c>
      <c r="H5" s="1">
        <v>0.2107</v>
      </c>
      <c r="I5" s="1">
        <v>0.26879999999999998</v>
      </c>
    </row>
    <row r="6" spans="1:9" x14ac:dyDescent="0.55000000000000004">
      <c r="A6" s="1" t="s">
        <v>19</v>
      </c>
      <c r="B6" s="1">
        <v>0.23980000000000001</v>
      </c>
      <c r="C6" s="1">
        <v>7.8600000000000003E-2</v>
      </c>
      <c r="D6" s="1">
        <v>0.2301</v>
      </c>
      <c r="E6" s="1">
        <v>0.18809999999999999</v>
      </c>
      <c r="F6" s="1">
        <v>0.2069</v>
      </c>
      <c r="G6" s="1">
        <v>0.27739999999999998</v>
      </c>
      <c r="H6" s="1">
        <v>0.2074</v>
      </c>
      <c r="I6" s="1">
        <v>0.25650000000000001</v>
      </c>
    </row>
    <row r="7" spans="1:9" x14ac:dyDescent="0.55000000000000004">
      <c r="A7" s="1" t="s">
        <v>20</v>
      </c>
      <c r="B7" s="1">
        <v>0.24179999999999999</v>
      </c>
      <c r="C7" s="1">
        <v>5.0799999999999998E-2</v>
      </c>
      <c r="D7" s="1">
        <v>0.23019999999999999</v>
      </c>
      <c r="E7" s="1">
        <v>0.16880000000000001</v>
      </c>
      <c r="F7" s="1">
        <v>0.2069</v>
      </c>
      <c r="G7" s="1">
        <v>0.29609999999999997</v>
      </c>
      <c r="H7" s="1">
        <v>0.20660000000000001</v>
      </c>
      <c r="I7" s="1">
        <v>0.28029999999999999</v>
      </c>
    </row>
    <row r="8" spans="1:9" x14ac:dyDescent="0.55000000000000004">
      <c r="A8" s="1" t="s">
        <v>24</v>
      </c>
      <c r="B8" s="1">
        <v>0.22589999999999999</v>
      </c>
      <c r="C8" s="1">
        <v>0.17180000000000001</v>
      </c>
      <c r="D8" s="1">
        <v>0.22550000000000001</v>
      </c>
      <c r="E8" s="1">
        <v>0.17180000000000001</v>
      </c>
      <c r="F8" s="1">
        <v>0.2026</v>
      </c>
      <c r="G8" s="1">
        <v>0.28439999999999999</v>
      </c>
      <c r="H8" s="1">
        <v>0.20530000000000001</v>
      </c>
      <c r="I8" s="1">
        <v>0.25819999999999999</v>
      </c>
    </row>
    <row r="9" spans="1:9" x14ac:dyDescent="0.55000000000000004">
      <c r="A9" s="1" t="s">
        <v>21</v>
      </c>
      <c r="B9" s="1">
        <v>0.2306</v>
      </c>
      <c r="C9" s="1">
        <v>0.17130000000000001</v>
      </c>
      <c r="D9" s="1">
        <v>0.23050000000000001</v>
      </c>
      <c r="E9" s="1">
        <v>0.1714</v>
      </c>
      <c r="F9" s="1">
        <v>0.20899999999999999</v>
      </c>
      <c r="G9" s="1">
        <v>0.29120000000000001</v>
      </c>
      <c r="H9" s="1">
        <v>0.20880000000000001</v>
      </c>
      <c r="I9" s="1">
        <v>0.27500000000000002</v>
      </c>
    </row>
    <row r="10" spans="1:9" x14ac:dyDescent="0.55000000000000004">
      <c r="A10" s="1" t="s">
        <v>22</v>
      </c>
      <c r="B10" s="1">
        <v>0.23</v>
      </c>
      <c r="C10" s="1">
        <v>0.17280000000000001</v>
      </c>
      <c r="D10" s="1">
        <v>0.2301</v>
      </c>
      <c r="E10" s="1">
        <v>0.17280000000000001</v>
      </c>
      <c r="F10" s="1">
        <v>0.2082</v>
      </c>
      <c r="G10" s="1">
        <v>0.2893</v>
      </c>
      <c r="H10" s="1">
        <v>0.20799999999999999</v>
      </c>
      <c r="I10" s="1">
        <v>0.27229999999999999</v>
      </c>
    </row>
    <row r="11" spans="1:9" x14ac:dyDescent="0.55000000000000004">
      <c r="A11" s="1" t="s">
        <v>52</v>
      </c>
      <c r="B11" s="1">
        <v>0.2296</v>
      </c>
      <c r="C11" s="1">
        <v>0.1749</v>
      </c>
      <c r="D11" s="1">
        <v>0.2291</v>
      </c>
      <c r="E11" s="1">
        <v>0.1779</v>
      </c>
      <c r="F11" s="1">
        <v>0.2074</v>
      </c>
      <c r="G11" s="1">
        <v>0.29459999999999997</v>
      </c>
      <c r="H11" s="1">
        <v>0.2077</v>
      </c>
      <c r="I11" s="1">
        <v>0.2787</v>
      </c>
    </row>
    <row r="12" spans="1:9" x14ac:dyDescent="0.55000000000000004">
      <c r="A12" s="3" t="s">
        <v>53</v>
      </c>
      <c r="B12" s="1">
        <v>0.2276</v>
      </c>
      <c r="C12" s="1">
        <v>0.17829999999999999</v>
      </c>
      <c r="D12" s="1">
        <v>0.22670000000000001</v>
      </c>
      <c r="E12" s="1">
        <v>0.17929999999999999</v>
      </c>
      <c r="F12" s="1">
        <v>0.20369999999999999</v>
      </c>
      <c r="G12" s="1">
        <v>0.29289999999999999</v>
      </c>
      <c r="H12" s="1">
        <v>0.2056</v>
      </c>
      <c r="I12" s="1">
        <v>0.2727</v>
      </c>
    </row>
    <row r="13" spans="1:9" x14ac:dyDescent="0.55000000000000004">
      <c r="A13" s="1" t="s">
        <v>23</v>
      </c>
      <c r="B13" s="1">
        <v>0.22919999999999999</v>
      </c>
      <c r="C13" s="1">
        <v>0.17849999999999999</v>
      </c>
      <c r="D13" s="1">
        <v>0.2278</v>
      </c>
      <c r="E13" s="1">
        <v>0.18099999999999999</v>
      </c>
      <c r="F13" s="1">
        <v>0.20619999999999999</v>
      </c>
      <c r="G13" s="1">
        <v>0.29459999999999997</v>
      </c>
      <c r="H13" s="1">
        <v>0.20730000000000001</v>
      </c>
      <c r="I13" s="1">
        <v>0.27200000000000002</v>
      </c>
    </row>
    <row r="14" spans="1:9" x14ac:dyDescent="0.55000000000000004">
      <c r="A14" s="1" t="s">
        <v>56</v>
      </c>
      <c r="B14" s="1">
        <v>0.23139999999999999</v>
      </c>
      <c r="C14" s="1">
        <v>0.1638</v>
      </c>
      <c r="D14" s="1">
        <v>0.23089999999999999</v>
      </c>
      <c r="E14" s="1">
        <v>0.16880000000000001</v>
      </c>
      <c r="F14" s="1">
        <v>0.20930000000000001</v>
      </c>
      <c r="G14" s="1">
        <v>0.29020000000000001</v>
      </c>
      <c r="H14" s="1">
        <v>0.20910000000000001</v>
      </c>
      <c r="I14" s="1">
        <v>0.28120000000000001</v>
      </c>
    </row>
    <row r="15" spans="1:9" x14ac:dyDescent="0.55000000000000004">
      <c r="A15" s="1" t="s">
        <v>60</v>
      </c>
      <c r="B15" s="1">
        <v>0.23069999999999999</v>
      </c>
      <c r="C15" s="1">
        <v>0.16719999999999999</v>
      </c>
      <c r="D15" s="1">
        <v>0.23</v>
      </c>
      <c r="E15" s="1">
        <v>0.17199999999999999</v>
      </c>
      <c r="F15" s="1">
        <v>0.2077</v>
      </c>
      <c r="G15" s="1">
        <v>0.29189999999999999</v>
      </c>
      <c r="H15" s="1">
        <v>0.20730000000000001</v>
      </c>
      <c r="I15" s="1">
        <v>0.27800000000000002</v>
      </c>
    </row>
    <row r="16" spans="1:9" x14ac:dyDescent="0.55000000000000004">
      <c r="A16" s="1" t="s">
        <v>54</v>
      </c>
      <c r="B16" s="1">
        <v>0.2303</v>
      </c>
      <c r="C16" s="1">
        <v>0.1704</v>
      </c>
      <c r="D16" s="1">
        <v>0.23050000000000001</v>
      </c>
      <c r="E16" s="1">
        <v>0.17050000000000001</v>
      </c>
      <c r="F16" s="1">
        <v>0.2092</v>
      </c>
      <c r="G16" s="1">
        <v>0.2828</v>
      </c>
      <c r="H16" s="1">
        <v>0.2092</v>
      </c>
      <c r="I16" s="1">
        <v>0.2651</v>
      </c>
    </row>
    <row r="17" spans="1:9" x14ac:dyDescent="0.55000000000000004">
      <c r="A17" s="1" t="s">
        <v>57</v>
      </c>
      <c r="B17" s="1">
        <v>0.2296</v>
      </c>
      <c r="C17" s="1">
        <v>0.1714</v>
      </c>
      <c r="D17" s="1">
        <v>0.2296</v>
      </c>
      <c r="E17" s="1">
        <v>0.1719</v>
      </c>
      <c r="F17" s="1">
        <v>0.20649999999999999</v>
      </c>
      <c r="G17" s="1">
        <v>0.29339999999999999</v>
      </c>
      <c r="H17" s="1">
        <v>0.20610000000000001</v>
      </c>
      <c r="I17" s="1">
        <v>0.27639999999999998</v>
      </c>
    </row>
    <row r="18" spans="1:9" x14ac:dyDescent="0.55000000000000004">
      <c r="A18" s="1" t="s">
        <v>55</v>
      </c>
      <c r="B18" s="1">
        <v>0.2291</v>
      </c>
      <c r="C18" s="1">
        <v>0.17430000000000001</v>
      </c>
      <c r="D18" s="1">
        <v>0.2276</v>
      </c>
      <c r="E18" s="1">
        <v>0.17860000000000001</v>
      </c>
      <c r="F18" s="1">
        <v>0.2049</v>
      </c>
      <c r="G18" s="1">
        <v>0.29260000000000003</v>
      </c>
      <c r="H18" s="1">
        <v>0.20599999999999999</v>
      </c>
      <c r="I18" s="1">
        <v>0.2737</v>
      </c>
    </row>
    <row r="19" spans="1:9" x14ac:dyDescent="0.55000000000000004">
      <c r="A19" s="1" t="s">
        <v>59</v>
      </c>
      <c r="B19" s="1">
        <v>0.23169999999999999</v>
      </c>
      <c r="C19" s="1">
        <v>0.15609999999999999</v>
      </c>
      <c r="D19" s="1">
        <v>0.23039999999999999</v>
      </c>
      <c r="E19" s="1">
        <v>0.16880000000000001</v>
      </c>
      <c r="F19" s="1">
        <v>0.2074</v>
      </c>
      <c r="G19" s="1">
        <v>0.29480000000000001</v>
      </c>
      <c r="H19" s="1">
        <v>0.20699999999999999</v>
      </c>
      <c r="I19" s="1">
        <v>0.28510000000000002</v>
      </c>
    </row>
    <row r="20" spans="1:9" x14ac:dyDescent="0.55000000000000004">
      <c r="A20" s="1" t="s">
        <v>61</v>
      </c>
      <c r="B20" s="1">
        <v>0.23230000000000001</v>
      </c>
      <c r="C20" s="1">
        <v>0.14779999999999999</v>
      </c>
      <c r="D20" s="1">
        <v>0.2301</v>
      </c>
      <c r="E20" s="1">
        <v>0.16239999999999999</v>
      </c>
      <c r="F20" s="1">
        <v>0.2069</v>
      </c>
      <c r="G20" s="1">
        <v>0.2777</v>
      </c>
      <c r="H20" s="1">
        <v>0.20810000000000001</v>
      </c>
      <c r="I20" s="1">
        <v>0.27689999999999998</v>
      </c>
    </row>
    <row r="21" spans="1:9" x14ac:dyDescent="0.55000000000000004">
      <c r="C21" t="s">
        <v>1</v>
      </c>
      <c r="D21" t="s">
        <v>3</v>
      </c>
    </row>
    <row r="22" spans="1:9" x14ac:dyDescent="0.55000000000000004">
      <c r="A22" s="4">
        <v>46085</v>
      </c>
      <c r="B22" t="s">
        <v>59</v>
      </c>
      <c r="C22">
        <v>0.2147</v>
      </c>
      <c r="D22">
        <v>0.2006</v>
      </c>
    </row>
    <row r="23" spans="1:9" x14ac:dyDescent="0.55000000000000004">
      <c r="A23" s="4">
        <v>46090</v>
      </c>
      <c r="B23" t="s">
        <v>61</v>
      </c>
      <c r="C23">
        <v>0.2142</v>
      </c>
      <c r="D23">
        <v>0.2334</v>
      </c>
    </row>
    <row r="24" spans="1:9" x14ac:dyDescent="0.55000000000000004">
      <c r="A24" s="4">
        <v>46098</v>
      </c>
      <c r="B24" t="s">
        <v>53</v>
      </c>
      <c r="C24">
        <v>0.20810000000000001</v>
      </c>
      <c r="D24">
        <v>0.24890000000000001</v>
      </c>
    </row>
    <row r="25" spans="1:9" x14ac:dyDescent="0.55000000000000004">
      <c r="A25" s="4">
        <v>46112</v>
      </c>
      <c r="B25" t="s">
        <v>53</v>
      </c>
      <c r="C25">
        <v>0.2056</v>
      </c>
      <c r="D25">
        <v>0.2727</v>
      </c>
    </row>
  </sheetData>
  <mergeCells count="4">
    <mergeCell ref="B1:C1"/>
    <mergeCell ref="D1:E1"/>
    <mergeCell ref="F1:G1"/>
    <mergeCell ref="H1:I1"/>
  </mergeCells>
  <conditionalFormatting sqref="B3:B20">
    <cfRule type="top10" dxfId="8" priority="46" bottom="1" rank="1"/>
  </conditionalFormatting>
  <conditionalFormatting sqref="C3:C20">
    <cfRule type="top10" dxfId="7" priority="117" rank="1"/>
  </conditionalFormatting>
  <conditionalFormatting sqref="D3:D20 D23:D25">
    <cfRule type="top10" dxfId="6" priority="6" bottom="1" rank="1"/>
  </conditionalFormatting>
  <conditionalFormatting sqref="E3:E20">
    <cfRule type="top10" dxfId="5" priority="3" rank="1"/>
  </conditionalFormatting>
  <conditionalFormatting sqref="E22">
    <cfRule type="top10" dxfId="4" priority="14" rank="1"/>
  </conditionalFormatting>
  <conditionalFormatting sqref="F3:F20">
    <cfRule type="top10" dxfId="3" priority="5" bottom="1" rank="1"/>
  </conditionalFormatting>
  <conditionalFormatting sqref="G3:G20">
    <cfRule type="top10" dxfId="2" priority="2" rank="1"/>
  </conditionalFormatting>
  <conditionalFormatting sqref="H3:H20">
    <cfRule type="top10" dxfId="1" priority="4" bottom="1" rank="1"/>
  </conditionalFormatting>
  <conditionalFormatting sqref="I3:I20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26BF-468F-45B0-90F5-005D8BFD087E}">
  <dimension ref="A1:Q357"/>
  <sheetViews>
    <sheetView zoomScale="85" zoomScaleNormal="90" workbookViewId="0">
      <pane ySplit="1" topLeftCell="A97" activePane="bottomLeft" state="frozen"/>
      <selection pane="bottomLeft" activeCell="H127" sqref="H127"/>
    </sheetView>
  </sheetViews>
  <sheetFormatPr defaultRowHeight="14.4" x14ac:dyDescent="0.55000000000000004"/>
  <cols>
    <col min="1" max="1" width="17.20703125" bestFit="1" customWidth="1"/>
    <col min="5" max="5" width="10.68359375" bestFit="1" customWidth="1"/>
    <col min="6" max="6" width="9.47265625" bestFit="1" customWidth="1"/>
    <col min="7" max="7" width="6.83984375" bestFit="1" customWidth="1"/>
    <col min="8" max="8" width="10.3125" bestFit="1" customWidth="1"/>
    <col min="9" max="9" width="19.5234375" bestFit="1" customWidth="1"/>
    <col min="10" max="10" width="8.47265625" bestFit="1" customWidth="1"/>
    <col min="11" max="11" width="8.3671875" bestFit="1" customWidth="1"/>
    <col min="13" max="13" width="17.20703125" bestFit="1" customWidth="1"/>
    <col min="14" max="14" width="17.3125" bestFit="1" customWidth="1"/>
    <col min="16" max="16" width="17.26171875" customWidth="1"/>
    <col min="18" max="18" width="10.68359375" bestFit="1" customWidth="1"/>
    <col min="19" max="19" width="9.472656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7">
        <v>8.16</v>
      </c>
      <c r="C2" s="7">
        <f>B2-L2</f>
        <v>2.6000000000000005</v>
      </c>
      <c r="D2">
        <f>B2+L2</f>
        <v>13.719999999999999</v>
      </c>
      <c r="E2">
        <v>2.6</v>
      </c>
      <c r="F2">
        <v>1</v>
      </c>
      <c r="G2">
        <v>1</v>
      </c>
      <c r="H2" s="8">
        <v>1</v>
      </c>
      <c r="I2" t="s">
        <v>83</v>
      </c>
      <c r="J2" t="s">
        <v>82</v>
      </c>
      <c r="K2" t="s">
        <v>77</v>
      </c>
      <c r="L2">
        <v>5.56</v>
      </c>
      <c r="N2" s="7"/>
    </row>
    <row r="3" spans="1:14" x14ac:dyDescent="0.55000000000000004">
      <c r="A3" s="7" t="s">
        <v>27</v>
      </c>
      <c r="B3" s="7">
        <v>8.58</v>
      </c>
      <c r="C3" s="7">
        <f t="shared" ref="C3:C26" si="0">B3-L3</f>
        <v>3.0200000000000005</v>
      </c>
      <c r="D3">
        <f t="shared" ref="D3:D26" si="1">B3+L3</f>
        <v>14.14</v>
      </c>
      <c r="E3">
        <v>3.02</v>
      </c>
      <c r="F3">
        <v>2</v>
      </c>
      <c r="G3">
        <v>2</v>
      </c>
      <c r="H3" s="8">
        <v>23</v>
      </c>
      <c r="I3" t="s">
        <v>83</v>
      </c>
      <c r="J3" t="s">
        <v>82</v>
      </c>
      <c r="K3" t="s">
        <v>77</v>
      </c>
      <c r="L3">
        <v>5.56</v>
      </c>
      <c r="N3" s="7"/>
    </row>
    <row r="4" spans="1:14" x14ac:dyDescent="0.55000000000000004">
      <c r="A4" s="7" t="s">
        <v>36</v>
      </c>
      <c r="B4" s="7">
        <v>8.64</v>
      </c>
      <c r="C4" s="7">
        <f t="shared" si="0"/>
        <v>3.080000000000001</v>
      </c>
      <c r="D4">
        <f t="shared" si="1"/>
        <v>14.2</v>
      </c>
      <c r="E4">
        <v>3.08</v>
      </c>
      <c r="F4">
        <v>3</v>
      </c>
      <c r="G4">
        <v>3</v>
      </c>
      <c r="H4" s="8">
        <v>2</v>
      </c>
      <c r="I4" t="s">
        <v>83</v>
      </c>
      <c r="J4" t="s">
        <v>82</v>
      </c>
      <c r="K4" t="s">
        <v>77</v>
      </c>
      <c r="L4">
        <v>5.56</v>
      </c>
      <c r="N4" s="7"/>
    </row>
    <row r="5" spans="1:14" x14ac:dyDescent="0.55000000000000004">
      <c r="A5" s="7" t="s">
        <v>37</v>
      </c>
      <c r="B5" s="7">
        <v>8.89</v>
      </c>
      <c r="C5" s="7">
        <f t="shared" si="0"/>
        <v>3.330000000000001</v>
      </c>
      <c r="D5">
        <f t="shared" si="1"/>
        <v>14.45</v>
      </c>
      <c r="E5">
        <v>8.89</v>
      </c>
      <c r="F5">
        <v>4</v>
      </c>
      <c r="G5">
        <v>10</v>
      </c>
      <c r="H5" s="8">
        <v>7</v>
      </c>
      <c r="I5" t="s">
        <v>83</v>
      </c>
      <c r="J5" t="s">
        <v>82</v>
      </c>
      <c r="K5" t="s">
        <v>77</v>
      </c>
      <c r="L5">
        <v>5.56</v>
      </c>
      <c r="N5" s="7"/>
    </row>
    <row r="6" spans="1:14" x14ac:dyDescent="0.55000000000000004">
      <c r="A6" s="7" t="s">
        <v>33</v>
      </c>
      <c r="B6" s="7">
        <v>8.99</v>
      </c>
      <c r="C6" s="7">
        <f t="shared" si="0"/>
        <v>3.4300000000000006</v>
      </c>
      <c r="D6">
        <f t="shared" si="1"/>
        <v>14.55</v>
      </c>
      <c r="E6">
        <v>3.43</v>
      </c>
      <c r="F6">
        <v>5</v>
      </c>
      <c r="G6">
        <v>4</v>
      </c>
      <c r="H6" s="8">
        <v>4</v>
      </c>
      <c r="I6" t="s">
        <v>83</v>
      </c>
      <c r="J6" t="s">
        <v>82</v>
      </c>
      <c r="K6" t="s">
        <v>77</v>
      </c>
      <c r="L6">
        <v>5.56</v>
      </c>
      <c r="N6" s="7"/>
    </row>
    <row r="7" spans="1:14" x14ac:dyDescent="0.55000000000000004">
      <c r="A7" s="7" t="s">
        <v>38</v>
      </c>
      <c r="B7" s="7">
        <v>9.35</v>
      </c>
      <c r="C7" s="7">
        <f t="shared" si="0"/>
        <v>3.79</v>
      </c>
      <c r="D7">
        <f t="shared" si="1"/>
        <v>14.91</v>
      </c>
      <c r="E7">
        <v>3.79</v>
      </c>
      <c r="F7">
        <v>6</v>
      </c>
      <c r="G7">
        <v>5</v>
      </c>
      <c r="H7" s="8">
        <v>5</v>
      </c>
      <c r="I7" t="s">
        <v>83</v>
      </c>
      <c r="J7" t="s">
        <v>82</v>
      </c>
      <c r="K7" t="s">
        <v>77</v>
      </c>
      <c r="L7">
        <v>5.56</v>
      </c>
      <c r="N7" s="7"/>
    </row>
    <row r="8" spans="1:14" x14ac:dyDescent="0.55000000000000004">
      <c r="A8" s="7" t="s">
        <v>34</v>
      </c>
      <c r="B8" s="7">
        <v>9.5500000000000007</v>
      </c>
      <c r="C8" s="7">
        <f t="shared" si="0"/>
        <v>3.9900000000000011</v>
      </c>
      <c r="D8">
        <f t="shared" si="1"/>
        <v>15.11</v>
      </c>
      <c r="E8">
        <v>3.99</v>
      </c>
      <c r="F8">
        <v>7</v>
      </c>
      <c r="G8">
        <v>6</v>
      </c>
      <c r="H8" s="8">
        <v>3</v>
      </c>
      <c r="I8" t="s">
        <v>83</v>
      </c>
      <c r="J8" t="s">
        <v>82</v>
      </c>
      <c r="K8" t="s">
        <v>77</v>
      </c>
      <c r="L8">
        <v>5.56</v>
      </c>
      <c r="N8" s="7"/>
    </row>
    <row r="9" spans="1:14" x14ac:dyDescent="0.55000000000000004">
      <c r="A9" s="7" t="s">
        <v>25</v>
      </c>
      <c r="B9" s="7">
        <v>10.3</v>
      </c>
      <c r="C9" s="7">
        <f t="shared" si="0"/>
        <v>4.7400000000000011</v>
      </c>
      <c r="D9">
        <f t="shared" si="1"/>
        <v>15.86</v>
      </c>
      <c r="E9">
        <v>10.3</v>
      </c>
      <c r="F9">
        <v>8</v>
      </c>
      <c r="G9">
        <v>11</v>
      </c>
      <c r="H9" s="8">
        <v>11</v>
      </c>
      <c r="I9" t="s">
        <v>83</v>
      </c>
      <c r="J9" t="s">
        <v>82</v>
      </c>
      <c r="K9" t="s">
        <v>77</v>
      </c>
      <c r="L9">
        <v>5.56</v>
      </c>
      <c r="N9" s="7"/>
    </row>
    <row r="10" spans="1:14" x14ac:dyDescent="0.55000000000000004">
      <c r="A10" s="7" t="s">
        <v>35</v>
      </c>
      <c r="B10" s="7">
        <v>10.55</v>
      </c>
      <c r="C10" s="7">
        <f t="shared" si="0"/>
        <v>4.9900000000000011</v>
      </c>
      <c r="D10">
        <f t="shared" si="1"/>
        <v>16.11</v>
      </c>
      <c r="E10">
        <v>4.99</v>
      </c>
      <c r="F10">
        <v>9</v>
      </c>
      <c r="G10">
        <v>7</v>
      </c>
      <c r="H10" s="8">
        <v>13</v>
      </c>
      <c r="I10" t="s">
        <v>83</v>
      </c>
      <c r="J10" t="s">
        <v>82</v>
      </c>
      <c r="K10" t="s">
        <v>77</v>
      </c>
      <c r="L10">
        <v>5.56</v>
      </c>
      <c r="N10" s="7"/>
    </row>
    <row r="11" spans="1:14" x14ac:dyDescent="0.55000000000000004">
      <c r="A11" s="7" t="s">
        <v>40</v>
      </c>
      <c r="B11" s="7">
        <v>10.91</v>
      </c>
      <c r="C11" s="7">
        <f t="shared" si="0"/>
        <v>5.3500000000000005</v>
      </c>
      <c r="D11">
        <f t="shared" si="1"/>
        <v>16.47</v>
      </c>
      <c r="E11">
        <v>5.35</v>
      </c>
      <c r="F11">
        <v>10</v>
      </c>
      <c r="G11">
        <v>8</v>
      </c>
      <c r="H11" s="8">
        <v>22</v>
      </c>
      <c r="I11" t="s">
        <v>83</v>
      </c>
      <c r="J11" t="s">
        <v>82</v>
      </c>
      <c r="K11" t="s">
        <v>77</v>
      </c>
      <c r="L11">
        <v>5.56</v>
      </c>
      <c r="N11" s="7"/>
    </row>
    <row r="12" spans="1:14" x14ac:dyDescent="0.55000000000000004">
      <c r="A12" s="7" t="s">
        <v>44</v>
      </c>
      <c r="B12" s="7">
        <v>11.32</v>
      </c>
      <c r="C12" s="7">
        <f t="shared" si="0"/>
        <v>5.7600000000000007</v>
      </c>
      <c r="D12">
        <f t="shared" si="1"/>
        <v>16.88</v>
      </c>
      <c r="E12">
        <v>11.32</v>
      </c>
      <c r="F12">
        <v>11</v>
      </c>
      <c r="G12">
        <v>12</v>
      </c>
      <c r="H12" s="8">
        <v>12</v>
      </c>
      <c r="I12" t="s">
        <v>83</v>
      </c>
      <c r="J12" t="s">
        <v>82</v>
      </c>
      <c r="K12" t="s">
        <v>77</v>
      </c>
      <c r="L12">
        <v>5.56</v>
      </c>
      <c r="N12" s="7"/>
    </row>
    <row r="13" spans="1:14" x14ac:dyDescent="0.55000000000000004">
      <c r="A13" s="7" t="s">
        <v>28</v>
      </c>
      <c r="B13" s="7">
        <v>11.37</v>
      </c>
      <c r="C13" s="7">
        <f t="shared" si="0"/>
        <v>5.81</v>
      </c>
      <c r="D13">
        <f t="shared" si="1"/>
        <v>16.93</v>
      </c>
      <c r="E13">
        <v>16.93</v>
      </c>
      <c r="F13">
        <v>12</v>
      </c>
      <c r="G13">
        <v>20</v>
      </c>
      <c r="H13" s="8">
        <v>6</v>
      </c>
      <c r="I13" t="s">
        <v>83</v>
      </c>
      <c r="J13" t="s">
        <v>82</v>
      </c>
      <c r="K13" t="s">
        <v>77</v>
      </c>
      <c r="L13">
        <v>5.56</v>
      </c>
      <c r="N13" s="7"/>
    </row>
    <row r="14" spans="1:14" x14ac:dyDescent="0.55000000000000004">
      <c r="A14" s="7" t="s">
        <v>48</v>
      </c>
      <c r="B14" s="7">
        <v>11.43</v>
      </c>
      <c r="C14" s="7">
        <f t="shared" si="0"/>
        <v>5.87</v>
      </c>
      <c r="D14">
        <f t="shared" si="1"/>
        <v>16.989999999999998</v>
      </c>
      <c r="E14">
        <v>11.43</v>
      </c>
      <c r="F14">
        <v>13</v>
      </c>
      <c r="G14">
        <v>13</v>
      </c>
      <c r="H14" s="8">
        <v>15</v>
      </c>
      <c r="I14" t="s">
        <v>83</v>
      </c>
      <c r="J14" t="s">
        <v>82</v>
      </c>
      <c r="K14" t="s">
        <v>77</v>
      </c>
      <c r="L14">
        <v>5.56</v>
      </c>
      <c r="N14" s="7"/>
    </row>
    <row r="15" spans="1:14" x14ac:dyDescent="0.55000000000000004">
      <c r="A15" s="7" t="s">
        <v>45</v>
      </c>
      <c r="B15" s="7">
        <v>11.48</v>
      </c>
      <c r="C15" s="7">
        <f t="shared" si="0"/>
        <v>5.9200000000000008</v>
      </c>
      <c r="D15">
        <f t="shared" si="1"/>
        <v>17.04</v>
      </c>
      <c r="E15">
        <v>11.48</v>
      </c>
      <c r="F15">
        <v>14</v>
      </c>
      <c r="G15">
        <v>14</v>
      </c>
      <c r="H15" s="8">
        <v>16</v>
      </c>
      <c r="I15" t="s">
        <v>83</v>
      </c>
      <c r="J15" t="s">
        <v>82</v>
      </c>
      <c r="K15" t="s">
        <v>77</v>
      </c>
      <c r="L15">
        <v>5.56</v>
      </c>
      <c r="N15" s="7"/>
    </row>
    <row r="16" spans="1:14" x14ac:dyDescent="0.55000000000000004">
      <c r="A16" s="7" t="s">
        <v>41</v>
      </c>
      <c r="B16" s="7">
        <v>12.48</v>
      </c>
      <c r="C16" s="7">
        <f t="shared" si="0"/>
        <v>6.9200000000000008</v>
      </c>
      <c r="D16">
        <f t="shared" si="1"/>
        <v>18.04</v>
      </c>
      <c r="E16">
        <v>18.04</v>
      </c>
      <c r="F16">
        <v>15</v>
      </c>
      <c r="G16">
        <v>21</v>
      </c>
      <c r="H16" s="8">
        <v>18</v>
      </c>
      <c r="I16" t="s">
        <v>83</v>
      </c>
      <c r="J16" t="s">
        <v>82</v>
      </c>
      <c r="K16" t="s">
        <v>77</v>
      </c>
      <c r="L16">
        <v>5.56</v>
      </c>
      <c r="N16" s="7"/>
    </row>
    <row r="17" spans="1:15" x14ac:dyDescent="0.55000000000000004">
      <c r="A17" s="7" t="s">
        <v>49</v>
      </c>
      <c r="B17" s="7">
        <v>13.85</v>
      </c>
      <c r="C17" s="7">
        <f t="shared" si="0"/>
        <v>8.2899999999999991</v>
      </c>
      <c r="D17">
        <f t="shared" si="1"/>
        <v>19.41</v>
      </c>
      <c r="E17">
        <v>13.85</v>
      </c>
      <c r="F17">
        <v>16</v>
      </c>
      <c r="G17">
        <v>15</v>
      </c>
      <c r="H17" s="8">
        <v>9</v>
      </c>
      <c r="I17" t="s">
        <v>83</v>
      </c>
      <c r="J17" t="s">
        <v>82</v>
      </c>
      <c r="K17" t="s">
        <v>77</v>
      </c>
      <c r="L17">
        <v>5.56</v>
      </c>
      <c r="N17" s="7"/>
    </row>
    <row r="18" spans="1:15" x14ac:dyDescent="0.55000000000000004">
      <c r="A18" s="7" t="s">
        <v>32</v>
      </c>
      <c r="B18" s="7">
        <v>14.04</v>
      </c>
      <c r="C18" s="7">
        <f t="shared" si="0"/>
        <v>8.48</v>
      </c>
      <c r="D18">
        <f t="shared" si="1"/>
        <v>19.599999999999998</v>
      </c>
      <c r="E18">
        <v>19.600000000000001</v>
      </c>
      <c r="F18">
        <v>17</v>
      </c>
      <c r="G18">
        <v>22</v>
      </c>
      <c r="H18" s="8">
        <v>10</v>
      </c>
      <c r="I18" t="s">
        <v>83</v>
      </c>
      <c r="J18" t="s">
        <v>82</v>
      </c>
      <c r="K18" t="s">
        <v>77</v>
      </c>
      <c r="L18">
        <v>5.56</v>
      </c>
      <c r="N18" s="7"/>
    </row>
    <row r="19" spans="1:15" x14ac:dyDescent="0.55000000000000004">
      <c r="A19" s="7" t="s">
        <v>31</v>
      </c>
      <c r="B19" s="7">
        <v>14.33</v>
      </c>
      <c r="C19" s="7">
        <f t="shared" si="0"/>
        <v>8.77</v>
      </c>
      <c r="D19">
        <f t="shared" si="1"/>
        <v>19.89</v>
      </c>
      <c r="E19">
        <v>8.77</v>
      </c>
      <c r="F19">
        <v>18</v>
      </c>
      <c r="G19">
        <v>9</v>
      </c>
      <c r="H19" s="8">
        <v>8</v>
      </c>
      <c r="I19" t="s">
        <v>83</v>
      </c>
      <c r="J19" t="s">
        <v>82</v>
      </c>
      <c r="K19" t="s">
        <v>77</v>
      </c>
      <c r="L19">
        <v>5.56</v>
      </c>
      <c r="N19" s="7"/>
    </row>
    <row r="20" spans="1:15" x14ac:dyDescent="0.55000000000000004">
      <c r="A20" s="7" t="s">
        <v>29</v>
      </c>
      <c r="B20" s="7">
        <v>14.38</v>
      </c>
      <c r="C20" s="7">
        <f t="shared" si="0"/>
        <v>8.82</v>
      </c>
      <c r="D20">
        <f t="shared" si="1"/>
        <v>19.940000000000001</v>
      </c>
      <c r="E20">
        <v>14.38</v>
      </c>
      <c r="F20">
        <v>19</v>
      </c>
      <c r="G20">
        <v>16</v>
      </c>
      <c r="H20" s="8">
        <v>24</v>
      </c>
      <c r="I20" t="s">
        <v>83</v>
      </c>
      <c r="J20" t="s">
        <v>82</v>
      </c>
      <c r="K20" t="s">
        <v>77</v>
      </c>
      <c r="L20">
        <v>5.56</v>
      </c>
      <c r="N20" s="7"/>
    </row>
    <row r="21" spans="1:15" x14ac:dyDescent="0.55000000000000004">
      <c r="A21" s="7" t="s">
        <v>42</v>
      </c>
      <c r="B21" s="7">
        <v>14.73</v>
      </c>
      <c r="C21" s="7">
        <f t="shared" si="0"/>
        <v>9.1700000000000017</v>
      </c>
      <c r="D21">
        <f t="shared" si="1"/>
        <v>20.29</v>
      </c>
      <c r="E21">
        <v>20.29</v>
      </c>
      <c r="F21">
        <v>20</v>
      </c>
      <c r="G21">
        <v>23</v>
      </c>
      <c r="H21" s="8">
        <v>19</v>
      </c>
      <c r="I21" t="s">
        <v>83</v>
      </c>
      <c r="J21" t="s">
        <v>82</v>
      </c>
      <c r="K21" t="s">
        <v>77</v>
      </c>
      <c r="L21">
        <v>5.56</v>
      </c>
      <c r="N21" s="7"/>
    </row>
    <row r="22" spans="1:15" x14ac:dyDescent="0.55000000000000004">
      <c r="A22" s="7" t="s">
        <v>47</v>
      </c>
      <c r="B22" s="7">
        <v>14.81</v>
      </c>
      <c r="C22" s="7">
        <f t="shared" si="0"/>
        <v>9.25</v>
      </c>
      <c r="D22">
        <f t="shared" si="1"/>
        <v>20.37</v>
      </c>
      <c r="E22">
        <v>14.81</v>
      </c>
      <c r="F22">
        <v>21</v>
      </c>
      <c r="G22">
        <v>17</v>
      </c>
      <c r="H22" s="8">
        <v>20</v>
      </c>
      <c r="I22" t="s">
        <v>83</v>
      </c>
      <c r="J22" t="s">
        <v>82</v>
      </c>
      <c r="K22" t="s">
        <v>77</v>
      </c>
      <c r="L22">
        <v>5.56</v>
      </c>
      <c r="N22" s="7"/>
    </row>
    <row r="23" spans="1:15" x14ac:dyDescent="0.55000000000000004">
      <c r="A23" s="7" t="s">
        <v>30</v>
      </c>
      <c r="B23" s="7">
        <v>15.1</v>
      </c>
      <c r="C23" s="7">
        <f t="shared" si="0"/>
        <v>9.5399999999999991</v>
      </c>
      <c r="D23">
        <f t="shared" si="1"/>
        <v>20.66</v>
      </c>
      <c r="E23">
        <v>15.1</v>
      </c>
      <c r="F23">
        <v>22</v>
      </c>
      <c r="G23">
        <v>18</v>
      </c>
      <c r="H23" s="8">
        <v>14</v>
      </c>
      <c r="I23" t="s">
        <v>83</v>
      </c>
      <c r="J23" t="s">
        <v>82</v>
      </c>
      <c r="K23" t="s">
        <v>77</v>
      </c>
      <c r="L23">
        <v>5.56</v>
      </c>
      <c r="N23" s="7"/>
    </row>
    <row r="24" spans="1:15" x14ac:dyDescent="0.55000000000000004">
      <c r="A24" s="7" t="s">
        <v>26</v>
      </c>
      <c r="B24" s="7">
        <v>15.62</v>
      </c>
      <c r="C24" s="7">
        <f t="shared" si="0"/>
        <v>10.059999999999999</v>
      </c>
      <c r="D24">
        <f t="shared" si="1"/>
        <v>21.18</v>
      </c>
      <c r="E24">
        <v>21.18</v>
      </c>
      <c r="F24">
        <v>23</v>
      </c>
      <c r="G24">
        <v>24</v>
      </c>
      <c r="H24" s="8">
        <v>17</v>
      </c>
      <c r="I24" t="s">
        <v>83</v>
      </c>
      <c r="J24" t="s">
        <v>82</v>
      </c>
      <c r="K24" t="s">
        <v>77</v>
      </c>
      <c r="L24">
        <v>5.56</v>
      </c>
      <c r="N24" s="7"/>
    </row>
    <row r="25" spans="1:15" x14ac:dyDescent="0.55000000000000004">
      <c r="A25" s="7" t="s">
        <v>46</v>
      </c>
      <c r="B25" s="7">
        <v>16.09</v>
      </c>
      <c r="C25" s="7">
        <f t="shared" si="0"/>
        <v>10.530000000000001</v>
      </c>
      <c r="D25">
        <f t="shared" si="1"/>
        <v>21.65</v>
      </c>
      <c r="E25">
        <v>16.09</v>
      </c>
      <c r="F25">
        <v>24</v>
      </c>
      <c r="G25">
        <v>19</v>
      </c>
      <c r="H25" s="8">
        <v>25</v>
      </c>
      <c r="I25" t="s">
        <v>83</v>
      </c>
      <c r="J25" t="s">
        <v>82</v>
      </c>
      <c r="K25" t="s">
        <v>77</v>
      </c>
      <c r="L25">
        <v>5.56</v>
      </c>
      <c r="N25" s="7"/>
    </row>
    <row r="26" spans="1:15" x14ac:dyDescent="0.55000000000000004">
      <c r="A26" s="7" t="s">
        <v>43</v>
      </c>
      <c r="B26" s="7">
        <v>16.8</v>
      </c>
      <c r="C26" s="7">
        <f t="shared" si="0"/>
        <v>11.240000000000002</v>
      </c>
      <c r="D26">
        <f t="shared" si="1"/>
        <v>22.36</v>
      </c>
      <c r="E26">
        <v>22.36</v>
      </c>
      <c r="F26">
        <v>25</v>
      </c>
      <c r="G26">
        <v>25</v>
      </c>
      <c r="H26" s="8">
        <v>21</v>
      </c>
      <c r="I26" t="s">
        <v>83</v>
      </c>
      <c r="J26" t="s">
        <v>82</v>
      </c>
      <c r="K26" t="s">
        <v>77</v>
      </c>
      <c r="L26">
        <v>5.56</v>
      </c>
      <c r="N26" s="7"/>
    </row>
    <row r="27" spans="1:15" x14ac:dyDescent="0.55000000000000004">
      <c r="A27" s="6" t="s">
        <v>36</v>
      </c>
      <c r="B27" s="6">
        <v>8.31</v>
      </c>
      <c r="C27" s="5">
        <f>B27-L27</f>
        <v>2.7500000000000009</v>
      </c>
      <c r="D27">
        <f>B27+L27</f>
        <v>13.870000000000001</v>
      </c>
      <c r="E27">
        <v>2.75</v>
      </c>
      <c r="F27">
        <v>1</v>
      </c>
      <c r="G27">
        <v>1</v>
      </c>
      <c r="H27" s="8">
        <v>8</v>
      </c>
      <c r="I27" t="s">
        <v>84</v>
      </c>
      <c r="J27" t="s">
        <v>85</v>
      </c>
      <c r="K27" t="s">
        <v>77</v>
      </c>
      <c r="L27">
        <v>5.56</v>
      </c>
      <c r="O27" s="5"/>
    </row>
    <row r="28" spans="1:15" x14ac:dyDescent="0.55000000000000004">
      <c r="A28" s="6" t="s">
        <v>39</v>
      </c>
      <c r="B28" s="6">
        <v>8.35</v>
      </c>
      <c r="C28" s="5">
        <f t="shared" ref="C28:C51" si="2">B28-L28</f>
        <v>2.79</v>
      </c>
      <c r="D28">
        <f t="shared" ref="D28:D51" si="3">B28+L28</f>
        <v>13.91</v>
      </c>
      <c r="E28">
        <v>8.35</v>
      </c>
      <c r="F28">
        <v>2</v>
      </c>
      <c r="G28">
        <v>8</v>
      </c>
      <c r="H28" s="8">
        <v>24</v>
      </c>
      <c r="I28" t="s">
        <v>84</v>
      </c>
      <c r="J28" t="s">
        <v>85</v>
      </c>
      <c r="K28" t="s">
        <v>77</v>
      </c>
      <c r="L28">
        <v>5.56</v>
      </c>
      <c r="N28" s="6"/>
    </row>
    <row r="29" spans="1:15" x14ac:dyDescent="0.55000000000000004">
      <c r="A29" s="6" t="s">
        <v>27</v>
      </c>
      <c r="B29" s="6">
        <v>8.43</v>
      </c>
      <c r="C29" s="5">
        <f t="shared" si="2"/>
        <v>2.87</v>
      </c>
      <c r="D29">
        <f t="shared" si="3"/>
        <v>13.989999999999998</v>
      </c>
      <c r="E29">
        <v>2.87</v>
      </c>
      <c r="F29">
        <v>3</v>
      </c>
      <c r="G29">
        <v>2</v>
      </c>
      <c r="H29" s="8">
        <v>7</v>
      </c>
      <c r="I29" t="s">
        <v>84</v>
      </c>
      <c r="J29" t="s">
        <v>85</v>
      </c>
      <c r="K29" t="s">
        <v>77</v>
      </c>
      <c r="L29">
        <v>5.56</v>
      </c>
      <c r="N29" s="6"/>
    </row>
    <row r="30" spans="1:15" x14ac:dyDescent="0.55000000000000004">
      <c r="A30" s="6" t="s">
        <v>37</v>
      </c>
      <c r="B30" s="6">
        <v>8.66</v>
      </c>
      <c r="C30" s="5">
        <f t="shared" si="2"/>
        <v>3.1000000000000005</v>
      </c>
      <c r="D30">
        <f t="shared" si="3"/>
        <v>14.219999999999999</v>
      </c>
      <c r="E30">
        <v>3.1</v>
      </c>
      <c r="F30">
        <v>4</v>
      </c>
      <c r="G30">
        <v>3</v>
      </c>
      <c r="H30" s="8">
        <v>1</v>
      </c>
      <c r="I30" t="s">
        <v>84</v>
      </c>
      <c r="J30" t="s">
        <v>85</v>
      </c>
      <c r="K30" t="s">
        <v>77</v>
      </c>
      <c r="L30">
        <v>5.56</v>
      </c>
      <c r="N30" s="6"/>
    </row>
    <row r="31" spans="1:15" x14ac:dyDescent="0.55000000000000004">
      <c r="A31" s="6" t="s">
        <v>38</v>
      </c>
      <c r="B31" s="6">
        <v>9.49</v>
      </c>
      <c r="C31" s="5">
        <f t="shared" si="2"/>
        <v>3.9300000000000006</v>
      </c>
      <c r="D31">
        <f t="shared" si="3"/>
        <v>15.05</v>
      </c>
      <c r="E31">
        <v>3.93</v>
      </c>
      <c r="F31">
        <v>5</v>
      </c>
      <c r="G31">
        <v>4</v>
      </c>
      <c r="H31" s="8">
        <v>4</v>
      </c>
      <c r="I31" t="s">
        <v>84</v>
      </c>
      <c r="J31" t="s">
        <v>85</v>
      </c>
      <c r="K31" t="s">
        <v>77</v>
      </c>
      <c r="L31">
        <v>5.56</v>
      </c>
      <c r="N31" s="6"/>
    </row>
    <row r="32" spans="1:15" x14ac:dyDescent="0.55000000000000004">
      <c r="A32" s="6" t="s">
        <v>35</v>
      </c>
      <c r="B32" s="6">
        <v>9.66</v>
      </c>
      <c r="C32" s="5">
        <f t="shared" si="2"/>
        <v>4.1000000000000005</v>
      </c>
      <c r="D32">
        <f t="shared" si="3"/>
        <v>15.219999999999999</v>
      </c>
      <c r="E32">
        <v>4.0999999999999996</v>
      </c>
      <c r="F32">
        <v>6</v>
      </c>
      <c r="G32">
        <v>5</v>
      </c>
      <c r="H32" s="8">
        <v>3</v>
      </c>
      <c r="I32" t="s">
        <v>84</v>
      </c>
      <c r="J32" t="s">
        <v>85</v>
      </c>
      <c r="K32" t="s">
        <v>77</v>
      </c>
      <c r="L32">
        <v>5.56</v>
      </c>
      <c r="N32" s="6"/>
    </row>
    <row r="33" spans="1:14" x14ac:dyDescent="0.55000000000000004">
      <c r="A33" s="6" t="s">
        <v>45</v>
      </c>
      <c r="B33" s="6">
        <v>10.66</v>
      </c>
      <c r="C33" s="5">
        <f t="shared" si="2"/>
        <v>5.1000000000000005</v>
      </c>
      <c r="D33">
        <f t="shared" si="3"/>
        <v>16.22</v>
      </c>
      <c r="E33">
        <v>10.66</v>
      </c>
      <c r="F33">
        <v>7</v>
      </c>
      <c r="G33">
        <v>10</v>
      </c>
      <c r="H33" s="8">
        <v>6</v>
      </c>
      <c r="I33" t="s">
        <v>84</v>
      </c>
      <c r="J33" t="s">
        <v>85</v>
      </c>
      <c r="K33" t="s">
        <v>77</v>
      </c>
      <c r="L33">
        <v>5.56</v>
      </c>
      <c r="N33" s="6"/>
    </row>
    <row r="34" spans="1:14" x14ac:dyDescent="0.55000000000000004">
      <c r="A34" s="6" t="s">
        <v>25</v>
      </c>
      <c r="B34" s="6">
        <v>11.06</v>
      </c>
      <c r="C34" s="5">
        <f t="shared" si="2"/>
        <v>5.5000000000000009</v>
      </c>
      <c r="D34">
        <f t="shared" si="3"/>
        <v>16.62</v>
      </c>
      <c r="E34">
        <v>11.06</v>
      </c>
      <c r="F34">
        <v>8</v>
      </c>
      <c r="G34">
        <v>11</v>
      </c>
      <c r="H34" s="8">
        <v>5</v>
      </c>
      <c r="I34" t="s">
        <v>84</v>
      </c>
      <c r="J34" t="s">
        <v>85</v>
      </c>
      <c r="K34" t="s">
        <v>77</v>
      </c>
      <c r="L34">
        <v>5.56</v>
      </c>
      <c r="N34" s="6"/>
    </row>
    <row r="35" spans="1:14" x14ac:dyDescent="0.55000000000000004">
      <c r="A35" s="6" t="s">
        <v>34</v>
      </c>
      <c r="B35" s="6">
        <v>11.22</v>
      </c>
      <c r="C35" s="5">
        <f t="shared" si="2"/>
        <v>5.660000000000001</v>
      </c>
      <c r="D35">
        <f t="shared" si="3"/>
        <v>16.78</v>
      </c>
      <c r="E35">
        <v>16.78</v>
      </c>
      <c r="F35">
        <v>9</v>
      </c>
      <c r="G35">
        <v>21</v>
      </c>
      <c r="H35" s="8">
        <v>13</v>
      </c>
      <c r="I35" t="s">
        <v>84</v>
      </c>
      <c r="J35" t="s">
        <v>85</v>
      </c>
      <c r="K35" t="s">
        <v>77</v>
      </c>
      <c r="L35">
        <v>5.56</v>
      </c>
      <c r="N35" s="6"/>
    </row>
    <row r="36" spans="1:14" x14ac:dyDescent="0.55000000000000004">
      <c r="A36" s="6" t="s">
        <v>33</v>
      </c>
      <c r="B36" s="6">
        <v>11.27</v>
      </c>
      <c r="C36" s="5">
        <f t="shared" si="2"/>
        <v>5.71</v>
      </c>
      <c r="D36">
        <f t="shared" si="3"/>
        <v>16.829999999999998</v>
      </c>
      <c r="E36">
        <v>11.27</v>
      </c>
      <c r="F36">
        <v>10</v>
      </c>
      <c r="G36">
        <v>12</v>
      </c>
      <c r="H36" s="8">
        <v>2</v>
      </c>
      <c r="I36" t="s">
        <v>84</v>
      </c>
      <c r="J36" t="s">
        <v>85</v>
      </c>
      <c r="K36" t="s">
        <v>77</v>
      </c>
      <c r="L36">
        <v>5.56</v>
      </c>
      <c r="N36" s="6"/>
    </row>
    <row r="37" spans="1:14" x14ac:dyDescent="0.55000000000000004">
      <c r="A37" s="6" t="s">
        <v>42</v>
      </c>
      <c r="B37" s="6">
        <v>12.01</v>
      </c>
      <c r="C37" s="5">
        <f t="shared" si="2"/>
        <v>6.45</v>
      </c>
      <c r="D37">
        <f t="shared" si="3"/>
        <v>17.57</v>
      </c>
      <c r="E37">
        <v>6.45</v>
      </c>
      <c r="F37">
        <v>11</v>
      </c>
      <c r="G37">
        <v>6</v>
      </c>
      <c r="H37" s="8">
        <v>14</v>
      </c>
      <c r="I37" t="s">
        <v>84</v>
      </c>
      <c r="J37" t="s">
        <v>85</v>
      </c>
      <c r="K37" t="s">
        <v>77</v>
      </c>
      <c r="L37">
        <v>5.56</v>
      </c>
      <c r="N37" s="6"/>
    </row>
    <row r="38" spans="1:14" x14ac:dyDescent="0.55000000000000004">
      <c r="A38" s="6" t="s">
        <v>40</v>
      </c>
      <c r="B38" s="6">
        <v>12.41</v>
      </c>
      <c r="C38" s="5">
        <f t="shared" si="2"/>
        <v>6.8500000000000005</v>
      </c>
      <c r="D38">
        <f t="shared" si="3"/>
        <v>17.97</v>
      </c>
      <c r="E38">
        <v>6.85</v>
      </c>
      <c r="F38">
        <v>12</v>
      </c>
      <c r="G38">
        <v>7</v>
      </c>
      <c r="H38" s="8">
        <v>16</v>
      </c>
      <c r="I38" t="s">
        <v>84</v>
      </c>
      <c r="J38" t="s">
        <v>85</v>
      </c>
      <c r="K38" t="s">
        <v>77</v>
      </c>
      <c r="L38">
        <v>5.56</v>
      </c>
      <c r="N38" s="6"/>
    </row>
    <row r="39" spans="1:14" x14ac:dyDescent="0.55000000000000004">
      <c r="A39" s="6" t="s">
        <v>48</v>
      </c>
      <c r="B39" s="6">
        <v>12.47</v>
      </c>
      <c r="C39" s="5">
        <f t="shared" si="2"/>
        <v>6.910000000000001</v>
      </c>
      <c r="D39">
        <f t="shared" si="3"/>
        <v>18.03</v>
      </c>
      <c r="E39">
        <v>12.47</v>
      </c>
      <c r="F39">
        <v>13</v>
      </c>
      <c r="G39">
        <v>13</v>
      </c>
      <c r="H39" s="8">
        <v>10</v>
      </c>
      <c r="I39" t="s">
        <v>84</v>
      </c>
      <c r="J39" t="s">
        <v>85</v>
      </c>
      <c r="K39" t="s">
        <v>77</v>
      </c>
      <c r="L39">
        <v>5.56</v>
      </c>
      <c r="N39" s="6"/>
    </row>
    <row r="40" spans="1:14" x14ac:dyDescent="0.55000000000000004">
      <c r="A40" s="6" t="s">
        <v>44</v>
      </c>
      <c r="B40" s="6">
        <v>12.61</v>
      </c>
      <c r="C40" s="5">
        <f t="shared" si="2"/>
        <v>7.05</v>
      </c>
      <c r="D40">
        <f t="shared" si="3"/>
        <v>18.169999999999998</v>
      </c>
      <c r="E40">
        <v>12.61</v>
      </c>
      <c r="F40">
        <v>14</v>
      </c>
      <c r="G40">
        <v>14</v>
      </c>
      <c r="H40" s="8">
        <v>12</v>
      </c>
      <c r="I40" t="s">
        <v>84</v>
      </c>
      <c r="J40" t="s">
        <v>85</v>
      </c>
      <c r="K40" t="s">
        <v>77</v>
      </c>
      <c r="L40">
        <v>5.56</v>
      </c>
      <c r="N40" s="6"/>
    </row>
    <row r="41" spans="1:14" x14ac:dyDescent="0.55000000000000004">
      <c r="A41" s="6" t="s">
        <v>29</v>
      </c>
      <c r="B41" s="6">
        <v>12.77</v>
      </c>
      <c r="C41" s="5">
        <f t="shared" si="2"/>
        <v>7.21</v>
      </c>
      <c r="D41">
        <f t="shared" si="3"/>
        <v>18.329999999999998</v>
      </c>
      <c r="E41">
        <v>12.77</v>
      </c>
      <c r="F41">
        <v>15</v>
      </c>
      <c r="G41">
        <v>15</v>
      </c>
      <c r="H41" s="8">
        <v>11</v>
      </c>
      <c r="I41" t="s">
        <v>84</v>
      </c>
      <c r="J41" t="s">
        <v>85</v>
      </c>
      <c r="K41" t="s">
        <v>77</v>
      </c>
      <c r="L41">
        <v>5.56</v>
      </c>
      <c r="N41" s="6"/>
    </row>
    <row r="42" spans="1:14" x14ac:dyDescent="0.55000000000000004">
      <c r="A42" s="6" t="s">
        <v>49</v>
      </c>
      <c r="B42" s="6">
        <v>13.84</v>
      </c>
      <c r="C42" s="5">
        <f t="shared" si="2"/>
        <v>8.2800000000000011</v>
      </c>
      <c r="D42">
        <f t="shared" si="3"/>
        <v>19.399999999999999</v>
      </c>
      <c r="E42">
        <v>13.84</v>
      </c>
      <c r="F42">
        <v>16</v>
      </c>
      <c r="G42">
        <v>16</v>
      </c>
      <c r="H42" s="8">
        <v>22</v>
      </c>
      <c r="I42" t="s">
        <v>84</v>
      </c>
      <c r="J42" t="s">
        <v>85</v>
      </c>
      <c r="K42" t="s">
        <v>77</v>
      </c>
      <c r="L42">
        <v>5.56</v>
      </c>
      <c r="N42" s="6"/>
    </row>
    <row r="43" spans="1:14" x14ac:dyDescent="0.55000000000000004">
      <c r="A43" s="6" t="s">
        <v>28</v>
      </c>
      <c r="B43" s="6">
        <v>14.07</v>
      </c>
      <c r="C43" s="5">
        <f t="shared" si="2"/>
        <v>8.5100000000000016</v>
      </c>
      <c r="D43">
        <f t="shared" si="3"/>
        <v>19.63</v>
      </c>
      <c r="E43">
        <v>14.07</v>
      </c>
      <c r="F43">
        <v>17</v>
      </c>
      <c r="G43">
        <v>17</v>
      </c>
      <c r="H43" s="8">
        <v>17</v>
      </c>
      <c r="I43" t="s">
        <v>84</v>
      </c>
      <c r="J43" t="s">
        <v>85</v>
      </c>
      <c r="K43" t="s">
        <v>77</v>
      </c>
      <c r="L43">
        <v>5.56</v>
      </c>
      <c r="N43" s="6"/>
    </row>
    <row r="44" spans="1:14" x14ac:dyDescent="0.55000000000000004">
      <c r="A44" s="6" t="s">
        <v>41</v>
      </c>
      <c r="B44" s="6">
        <v>14.16</v>
      </c>
      <c r="C44" s="5">
        <f t="shared" si="2"/>
        <v>8.6000000000000014</v>
      </c>
      <c r="D44">
        <f t="shared" si="3"/>
        <v>19.72</v>
      </c>
      <c r="E44">
        <v>14.16</v>
      </c>
      <c r="F44">
        <v>18</v>
      </c>
      <c r="G44">
        <v>18</v>
      </c>
      <c r="H44" s="8">
        <v>9</v>
      </c>
      <c r="I44" t="s">
        <v>84</v>
      </c>
      <c r="J44" t="s">
        <v>85</v>
      </c>
      <c r="K44" t="s">
        <v>77</v>
      </c>
      <c r="L44">
        <v>5.56</v>
      </c>
      <c r="N44" s="6"/>
    </row>
    <row r="45" spans="1:14" x14ac:dyDescent="0.55000000000000004">
      <c r="A45" s="6" t="s">
        <v>47</v>
      </c>
      <c r="B45" s="6">
        <v>14.92</v>
      </c>
      <c r="C45" s="5">
        <f t="shared" si="2"/>
        <v>9.36</v>
      </c>
      <c r="D45">
        <f t="shared" si="3"/>
        <v>20.48</v>
      </c>
      <c r="E45">
        <v>20.48</v>
      </c>
      <c r="F45">
        <v>19</v>
      </c>
      <c r="G45">
        <v>22</v>
      </c>
      <c r="H45" s="8">
        <v>20</v>
      </c>
      <c r="I45" t="s">
        <v>84</v>
      </c>
      <c r="J45" t="s">
        <v>85</v>
      </c>
      <c r="K45" t="s">
        <v>77</v>
      </c>
      <c r="L45">
        <v>5.56</v>
      </c>
      <c r="N45" s="6"/>
    </row>
    <row r="46" spans="1:14" x14ac:dyDescent="0.55000000000000004">
      <c r="A46" s="6" t="s">
        <v>30</v>
      </c>
      <c r="B46" s="6">
        <v>15.33</v>
      </c>
      <c r="C46" s="5">
        <f t="shared" si="2"/>
        <v>9.77</v>
      </c>
      <c r="D46">
        <f t="shared" si="3"/>
        <v>20.89</v>
      </c>
      <c r="E46">
        <v>15.33</v>
      </c>
      <c r="F46">
        <v>20</v>
      </c>
      <c r="G46">
        <v>19</v>
      </c>
      <c r="H46" s="8">
        <v>23</v>
      </c>
      <c r="I46" t="s">
        <v>84</v>
      </c>
      <c r="J46" t="s">
        <v>85</v>
      </c>
      <c r="K46" t="s">
        <v>77</v>
      </c>
      <c r="L46">
        <v>5.56</v>
      </c>
      <c r="N46" s="6"/>
    </row>
    <row r="47" spans="1:14" x14ac:dyDescent="0.55000000000000004">
      <c r="A47" s="6" t="s">
        <v>31</v>
      </c>
      <c r="B47" s="6">
        <v>15.37</v>
      </c>
      <c r="C47" s="5">
        <f t="shared" si="2"/>
        <v>9.8099999999999987</v>
      </c>
      <c r="D47">
        <f t="shared" si="3"/>
        <v>20.93</v>
      </c>
      <c r="E47">
        <v>9.81</v>
      </c>
      <c r="F47">
        <v>21</v>
      </c>
      <c r="G47">
        <v>9</v>
      </c>
      <c r="H47" s="8">
        <v>25</v>
      </c>
      <c r="I47" t="s">
        <v>84</v>
      </c>
      <c r="J47" t="s">
        <v>85</v>
      </c>
      <c r="K47" t="s">
        <v>77</v>
      </c>
      <c r="L47">
        <v>5.56</v>
      </c>
      <c r="N47" s="6"/>
    </row>
    <row r="48" spans="1:14" x14ac:dyDescent="0.55000000000000004">
      <c r="A48" s="6" t="s">
        <v>26</v>
      </c>
      <c r="B48" s="6">
        <v>15.72</v>
      </c>
      <c r="C48" s="5">
        <f t="shared" si="2"/>
        <v>10.16</v>
      </c>
      <c r="D48">
        <f t="shared" si="3"/>
        <v>21.28</v>
      </c>
      <c r="E48">
        <v>21.28</v>
      </c>
      <c r="F48">
        <v>22</v>
      </c>
      <c r="G48">
        <v>23</v>
      </c>
      <c r="H48" s="8">
        <v>19</v>
      </c>
      <c r="I48" t="s">
        <v>84</v>
      </c>
      <c r="J48" t="s">
        <v>85</v>
      </c>
      <c r="K48" t="s">
        <v>77</v>
      </c>
      <c r="L48">
        <v>5.56</v>
      </c>
      <c r="N48" s="6"/>
    </row>
    <row r="49" spans="1:17" x14ac:dyDescent="0.55000000000000004">
      <c r="A49" s="6" t="s">
        <v>32</v>
      </c>
      <c r="B49" s="6">
        <v>15.91</v>
      </c>
      <c r="C49" s="5">
        <f t="shared" si="2"/>
        <v>10.350000000000001</v>
      </c>
      <c r="D49">
        <f t="shared" si="3"/>
        <v>21.47</v>
      </c>
      <c r="E49">
        <v>15.91</v>
      </c>
      <c r="F49">
        <v>23</v>
      </c>
      <c r="G49">
        <v>20</v>
      </c>
      <c r="H49" s="8">
        <v>15</v>
      </c>
      <c r="I49" t="s">
        <v>84</v>
      </c>
      <c r="J49" t="s">
        <v>85</v>
      </c>
      <c r="K49" t="s">
        <v>77</v>
      </c>
      <c r="L49">
        <v>5.56</v>
      </c>
      <c r="N49" s="6"/>
    </row>
    <row r="50" spans="1:17" x14ac:dyDescent="0.55000000000000004">
      <c r="A50" s="6" t="s">
        <v>46</v>
      </c>
      <c r="B50" s="6">
        <v>16.28</v>
      </c>
      <c r="C50" s="5">
        <f t="shared" si="2"/>
        <v>10.720000000000002</v>
      </c>
      <c r="D50">
        <f t="shared" si="3"/>
        <v>21.84</v>
      </c>
      <c r="E50">
        <v>21.84</v>
      </c>
      <c r="F50">
        <v>24</v>
      </c>
      <c r="G50">
        <v>24</v>
      </c>
      <c r="H50" s="8">
        <v>18</v>
      </c>
      <c r="I50" t="s">
        <v>84</v>
      </c>
      <c r="J50" t="s">
        <v>85</v>
      </c>
      <c r="K50" t="s">
        <v>77</v>
      </c>
      <c r="L50">
        <v>5.56</v>
      </c>
      <c r="N50" s="6"/>
    </row>
    <row r="51" spans="1:17" x14ac:dyDescent="0.55000000000000004">
      <c r="A51" s="6" t="s">
        <v>43</v>
      </c>
      <c r="B51" s="6">
        <v>16.77</v>
      </c>
      <c r="C51" s="5">
        <f t="shared" si="2"/>
        <v>11.21</v>
      </c>
      <c r="D51">
        <f t="shared" si="3"/>
        <v>22.33</v>
      </c>
      <c r="E51">
        <v>22.33</v>
      </c>
      <c r="F51">
        <v>25</v>
      </c>
      <c r="G51">
        <v>25</v>
      </c>
      <c r="H51" s="8">
        <v>21</v>
      </c>
      <c r="I51" t="s">
        <v>84</v>
      </c>
      <c r="J51" t="s">
        <v>85</v>
      </c>
      <c r="K51" t="s">
        <v>77</v>
      </c>
      <c r="L51">
        <v>5.56</v>
      </c>
      <c r="N51" s="6"/>
    </row>
    <row r="52" spans="1:17" x14ac:dyDescent="0.55000000000000004">
      <c r="A52" t="s">
        <v>38</v>
      </c>
      <c r="B52">
        <v>8.33</v>
      </c>
      <c r="C52" s="5">
        <f t="shared" ref="C52:C76" si="4">B52-L52</f>
        <v>2.6399999999999997</v>
      </c>
      <c r="D52" s="5">
        <f t="shared" ref="D52:D76" si="5">B52+L52</f>
        <v>14.02</v>
      </c>
      <c r="E52">
        <v>2.64</v>
      </c>
      <c r="F52">
        <v>1</v>
      </c>
      <c r="G52">
        <v>1</v>
      </c>
      <c r="H52" s="8">
        <v>5</v>
      </c>
      <c r="I52" t="s">
        <v>81</v>
      </c>
      <c r="J52" t="s">
        <v>82</v>
      </c>
      <c r="K52" t="s">
        <v>77</v>
      </c>
      <c r="L52">
        <v>5.69</v>
      </c>
      <c r="N52" s="6"/>
      <c r="P52" s="5"/>
      <c r="Q52" s="5"/>
    </row>
    <row r="53" spans="1:17" x14ac:dyDescent="0.55000000000000004">
      <c r="A53" t="s">
        <v>39</v>
      </c>
      <c r="B53">
        <v>9.44</v>
      </c>
      <c r="C53" s="5">
        <f t="shared" si="4"/>
        <v>3.7499999999999991</v>
      </c>
      <c r="D53" s="5">
        <f t="shared" si="5"/>
        <v>15.129999999999999</v>
      </c>
      <c r="E53">
        <v>3.75</v>
      </c>
      <c r="F53">
        <v>2</v>
      </c>
      <c r="G53">
        <v>2</v>
      </c>
      <c r="H53" s="8">
        <v>2</v>
      </c>
      <c r="I53" t="s">
        <v>81</v>
      </c>
      <c r="J53" t="s">
        <v>82</v>
      </c>
      <c r="K53" t="s">
        <v>77</v>
      </c>
      <c r="L53">
        <v>5.69</v>
      </c>
      <c r="P53" s="5"/>
      <c r="Q53" s="5"/>
    </row>
    <row r="54" spans="1:17" x14ac:dyDescent="0.55000000000000004">
      <c r="A54" t="s">
        <v>27</v>
      </c>
      <c r="B54">
        <v>9.4600000000000009</v>
      </c>
      <c r="C54" s="5">
        <f t="shared" si="4"/>
        <v>3.7700000000000005</v>
      </c>
      <c r="D54" s="5">
        <f t="shared" si="5"/>
        <v>15.150000000000002</v>
      </c>
      <c r="E54">
        <v>3.77</v>
      </c>
      <c r="F54">
        <v>3</v>
      </c>
      <c r="G54">
        <v>3</v>
      </c>
      <c r="H54" s="8">
        <v>8</v>
      </c>
      <c r="I54" t="s">
        <v>81</v>
      </c>
      <c r="J54" t="s">
        <v>82</v>
      </c>
      <c r="K54" t="s">
        <v>77</v>
      </c>
      <c r="L54">
        <v>5.69</v>
      </c>
      <c r="P54" s="5"/>
      <c r="Q54" s="5"/>
    </row>
    <row r="55" spans="1:17" x14ac:dyDescent="0.55000000000000004">
      <c r="A55" t="s">
        <v>36</v>
      </c>
      <c r="B55">
        <v>10.07</v>
      </c>
      <c r="C55" s="5">
        <f t="shared" si="4"/>
        <v>4.38</v>
      </c>
      <c r="D55" s="5">
        <f t="shared" si="5"/>
        <v>15.760000000000002</v>
      </c>
      <c r="E55">
        <v>4.38</v>
      </c>
      <c r="F55">
        <v>4</v>
      </c>
      <c r="G55">
        <v>4</v>
      </c>
      <c r="H55" s="8">
        <v>11</v>
      </c>
      <c r="I55" t="s">
        <v>81</v>
      </c>
      <c r="J55" t="s">
        <v>82</v>
      </c>
      <c r="K55" t="s">
        <v>77</v>
      </c>
      <c r="L55">
        <v>5.69</v>
      </c>
      <c r="P55" s="5"/>
      <c r="Q55" s="5"/>
    </row>
    <row r="56" spans="1:17" x14ac:dyDescent="0.55000000000000004">
      <c r="A56" t="s">
        <v>34</v>
      </c>
      <c r="B56">
        <v>10.65</v>
      </c>
      <c r="C56" s="5">
        <f t="shared" si="4"/>
        <v>4.96</v>
      </c>
      <c r="D56" s="5">
        <f t="shared" si="5"/>
        <v>16.34</v>
      </c>
      <c r="E56">
        <v>4.96</v>
      </c>
      <c r="F56">
        <v>5</v>
      </c>
      <c r="G56">
        <v>5</v>
      </c>
      <c r="H56" s="8">
        <v>7</v>
      </c>
      <c r="I56" t="s">
        <v>81</v>
      </c>
      <c r="J56" t="s">
        <v>82</v>
      </c>
      <c r="K56" t="s">
        <v>77</v>
      </c>
      <c r="L56">
        <v>5.69</v>
      </c>
      <c r="P56" s="5"/>
      <c r="Q56" s="5"/>
    </row>
    <row r="57" spans="1:17" x14ac:dyDescent="0.55000000000000004">
      <c r="A57" t="s">
        <v>37</v>
      </c>
      <c r="B57">
        <v>10.95</v>
      </c>
      <c r="C57" s="5">
        <f t="shared" si="4"/>
        <v>5.2599999999999989</v>
      </c>
      <c r="D57" s="5">
        <f t="shared" si="5"/>
        <v>16.64</v>
      </c>
      <c r="E57">
        <v>10.95</v>
      </c>
      <c r="F57">
        <v>6</v>
      </c>
      <c r="G57">
        <v>11</v>
      </c>
      <c r="H57" s="8">
        <v>15</v>
      </c>
      <c r="I57" t="s">
        <v>81</v>
      </c>
      <c r="J57" t="s">
        <v>82</v>
      </c>
      <c r="K57" t="s">
        <v>77</v>
      </c>
      <c r="L57">
        <v>5.69</v>
      </c>
      <c r="P57" s="5"/>
      <c r="Q57" s="5"/>
    </row>
    <row r="58" spans="1:17" x14ac:dyDescent="0.55000000000000004">
      <c r="A58" t="s">
        <v>35</v>
      </c>
      <c r="B58">
        <v>10.95</v>
      </c>
      <c r="C58" s="5">
        <f t="shared" si="4"/>
        <v>5.2599999999999989</v>
      </c>
      <c r="D58" s="5">
        <f t="shared" si="5"/>
        <v>16.64</v>
      </c>
      <c r="E58">
        <v>5.26</v>
      </c>
      <c r="F58">
        <v>7</v>
      </c>
      <c r="G58">
        <v>6</v>
      </c>
      <c r="H58" s="8">
        <v>6</v>
      </c>
      <c r="I58" t="s">
        <v>81</v>
      </c>
      <c r="J58" t="s">
        <v>82</v>
      </c>
      <c r="K58" t="s">
        <v>77</v>
      </c>
      <c r="L58">
        <v>5.69</v>
      </c>
      <c r="P58" s="5"/>
      <c r="Q58" s="5"/>
    </row>
    <row r="59" spans="1:17" x14ac:dyDescent="0.55000000000000004">
      <c r="A59" t="s">
        <v>25</v>
      </c>
      <c r="B59">
        <v>11.43</v>
      </c>
      <c r="C59" s="5">
        <f t="shared" si="4"/>
        <v>5.7399999999999993</v>
      </c>
      <c r="D59" s="5">
        <f t="shared" si="5"/>
        <v>17.12</v>
      </c>
      <c r="E59">
        <v>11.43</v>
      </c>
      <c r="F59">
        <v>8</v>
      </c>
      <c r="G59">
        <v>12</v>
      </c>
      <c r="H59" s="8">
        <v>10</v>
      </c>
      <c r="I59" t="s">
        <v>81</v>
      </c>
      <c r="J59" t="s">
        <v>82</v>
      </c>
      <c r="K59" t="s">
        <v>77</v>
      </c>
      <c r="L59">
        <v>5.69</v>
      </c>
      <c r="P59" s="5"/>
      <c r="Q59" s="5"/>
    </row>
    <row r="60" spans="1:17" x14ac:dyDescent="0.55000000000000004">
      <c r="A60" t="s">
        <v>42</v>
      </c>
      <c r="B60">
        <v>11.61</v>
      </c>
      <c r="C60" s="5">
        <f t="shared" si="4"/>
        <v>5.919999999999999</v>
      </c>
      <c r="D60" s="5">
        <f t="shared" si="5"/>
        <v>17.3</v>
      </c>
      <c r="E60">
        <v>17.3</v>
      </c>
      <c r="F60">
        <v>9</v>
      </c>
      <c r="G60">
        <v>20</v>
      </c>
      <c r="H60" s="8">
        <v>25</v>
      </c>
      <c r="I60" t="s">
        <v>81</v>
      </c>
      <c r="J60" t="s">
        <v>82</v>
      </c>
      <c r="K60" t="s">
        <v>77</v>
      </c>
      <c r="L60">
        <v>5.69</v>
      </c>
      <c r="P60" s="5"/>
      <c r="Q60" s="5"/>
    </row>
    <row r="61" spans="1:17" x14ac:dyDescent="0.55000000000000004">
      <c r="A61" t="s">
        <v>33</v>
      </c>
      <c r="B61">
        <v>11.62</v>
      </c>
      <c r="C61" s="5">
        <f t="shared" si="4"/>
        <v>5.9299999999999988</v>
      </c>
      <c r="D61" s="5">
        <f t="shared" si="5"/>
        <v>17.309999999999999</v>
      </c>
      <c r="E61">
        <v>5.93</v>
      </c>
      <c r="F61">
        <v>10</v>
      </c>
      <c r="G61">
        <v>7</v>
      </c>
      <c r="H61" s="8">
        <v>1</v>
      </c>
      <c r="I61" t="s">
        <v>81</v>
      </c>
      <c r="J61" t="s">
        <v>82</v>
      </c>
      <c r="K61" t="s">
        <v>77</v>
      </c>
      <c r="L61">
        <v>5.69</v>
      </c>
      <c r="P61" s="5"/>
      <c r="Q61" s="5"/>
    </row>
    <row r="62" spans="1:17" x14ac:dyDescent="0.55000000000000004">
      <c r="A62" t="s">
        <v>40</v>
      </c>
      <c r="B62">
        <v>11.82</v>
      </c>
      <c r="C62" s="5">
        <f t="shared" si="4"/>
        <v>6.13</v>
      </c>
      <c r="D62" s="5">
        <f t="shared" si="5"/>
        <v>17.510000000000002</v>
      </c>
      <c r="E62">
        <v>6.13</v>
      </c>
      <c r="F62">
        <v>11</v>
      </c>
      <c r="G62">
        <v>8</v>
      </c>
      <c r="H62" s="8">
        <v>3</v>
      </c>
      <c r="I62" t="s">
        <v>81</v>
      </c>
      <c r="J62" t="s">
        <v>82</v>
      </c>
      <c r="K62" t="s">
        <v>77</v>
      </c>
      <c r="L62">
        <v>5.69</v>
      </c>
      <c r="P62" s="5"/>
      <c r="Q62" s="5"/>
    </row>
    <row r="63" spans="1:17" x14ac:dyDescent="0.55000000000000004">
      <c r="A63" t="s">
        <v>45</v>
      </c>
      <c r="B63">
        <v>11.84</v>
      </c>
      <c r="C63" s="5">
        <f t="shared" si="4"/>
        <v>6.1499999999999995</v>
      </c>
      <c r="D63" s="5">
        <f t="shared" si="5"/>
        <v>17.53</v>
      </c>
      <c r="E63">
        <v>11.84</v>
      </c>
      <c r="F63">
        <v>12</v>
      </c>
      <c r="G63">
        <v>13</v>
      </c>
      <c r="H63" s="8">
        <v>9</v>
      </c>
      <c r="I63" t="s">
        <v>81</v>
      </c>
      <c r="J63" t="s">
        <v>82</v>
      </c>
      <c r="K63" t="s">
        <v>77</v>
      </c>
      <c r="L63">
        <v>5.69</v>
      </c>
      <c r="P63" s="5"/>
      <c r="Q63" s="5"/>
    </row>
    <row r="64" spans="1:17" x14ac:dyDescent="0.55000000000000004">
      <c r="A64" t="s">
        <v>29</v>
      </c>
      <c r="B64">
        <v>12.58</v>
      </c>
      <c r="C64" s="5">
        <f t="shared" si="4"/>
        <v>6.89</v>
      </c>
      <c r="D64" s="5">
        <f t="shared" si="5"/>
        <v>18.27</v>
      </c>
      <c r="E64">
        <v>12.58</v>
      </c>
      <c r="F64">
        <v>13</v>
      </c>
      <c r="G64">
        <v>14</v>
      </c>
      <c r="H64" s="8">
        <v>17</v>
      </c>
      <c r="I64" t="s">
        <v>81</v>
      </c>
      <c r="J64" t="s">
        <v>82</v>
      </c>
      <c r="K64" t="s">
        <v>77</v>
      </c>
      <c r="L64">
        <v>5.69</v>
      </c>
      <c r="P64" s="5"/>
      <c r="Q64" s="5"/>
    </row>
    <row r="65" spans="1:17" x14ac:dyDescent="0.55000000000000004">
      <c r="A65" t="s">
        <v>44</v>
      </c>
      <c r="B65">
        <v>12.75</v>
      </c>
      <c r="C65" s="5">
        <f t="shared" si="4"/>
        <v>7.06</v>
      </c>
      <c r="D65" s="5">
        <f t="shared" si="5"/>
        <v>18.440000000000001</v>
      </c>
      <c r="E65">
        <v>7.06</v>
      </c>
      <c r="F65">
        <v>14</v>
      </c>
      <c r="G65">
        <v>9</v>
      </c>
      <c r="H65" s="8">
        <v>20</v>
      </c>
      <c r="I65" t="s">
        <v>81</v>
      </c>
      <c r="J65" t="s">
        <v>82</v>
      </c>
      <c r="K65" t="s">
        <v>77</v>
      </c>
      <c r="L65">
        <v>5.69</v>
      </c>
      <c r="P65" s="5"/>
      <c r="Q65" s="5"/>
    </row>
    <row r="66" spans="1:17" x14ac:dyDescent="0.55000000000000004">
      <c r="A66" t="s">
        <v>28</v>
      </c>
      <c r="B66">
        <v>13.4</v>
      </c>
      <c r="C66" s="5">
        <f t="shared" si="4"/>
        <v>7.71</v>
      </c>
      <c r="D66" s="5">
        <f t="shared" si="5"/>
        <v>19.09</v>
      </c>
      <c r="E66">
        <v>13.4</v>
      </c>
      <c r="F66">
        <v>15</v>
      </c>
      <c r="G66">
        <v>15</v>
      </c>
      <c r="H66" s="8">
        <v>4</v>
      </c>
      <c r="I66" t="s">
        <v>81</v>
      </c>
      <c r="J66" t="s">
        <v>82</v>
      </c>
      <c r="K66" t="s">
        <v>77</v>
      </c>
      <c r="L66">
        <v>5.69</v>
      </c>
      <c r="P66" s="5"/>
      <c r="Q66" s="5"/>
    </row>
    <row r="67" spans="1:17" x14ac:dyDescent="0.55000000000000004">
      <c r="A67" t="s">
        <v>26</v>
      </c>
      <c r="B67">
        <v>13.67</v>
      </c>
      <c r="C67" s="5">
        <f t="shared" si="4"/>
        <v>7.9799999999999995</v>
      </c>
      <c r="D67" s="5">
        <f t="shared" si="5"/>
        <v>19.36</v>
      </c>
      <c r="E67">
        <v>19.36</v>
      </c>
      <c r="F67">
        <v>16</v>
      </c>
      <c r="G67">
        <v>21</v>
      </c>
      <c r="H67" s="8">
        <v>12</v>
      </c>
      <c r="I67" t="s">
        <v>81</v>
      </c>
      <c r="J67" t="s">
        <v>82</v>
      </c>
      <c r="K67" t="s">
        <v>77</v>
      </c>
      <c r="L67">
        <v>5.69</v>
      </c>
      <c r="P67" s="5"/>
      <c r="Q67" s="5"/>
    </row>
    <row r="68" spans="1:17" x14ac:dyDescent="0.55000000000000004">
      <c r="A68" t="s">
        <v>46</v>
      </c>
      <c r="B68">
        <v>14.08</v>
      </c>
      <c r="C68" s="5">
        <f t="shared" si="4"/>
        <v>8.39</v>
      </c>
      <c r="D68" s="5">
        <f t="shared" si="5"/>
        <v>19.77</v>
      </c>
      <c r="E68">
        <v>19.77</v>
      </c>
      <c r="F68">
        <v>17</v>
      </c>
      <c r="G68">
        <v>22</v>
      </c>
      <c r="H68" s="8">
        <v>22</v>
      </c>
      <c r="I68" t="s">
        <v>81</v>
      </c>
      <c r="J68" t="s">
        <v>82</v>
      </c>
      <c r="K68" t="s">
        <v>77</v>
      </c>
      <c r="L68">
        <v>5.69</v>
      </c>
      <c r="P68" s="5"/>
      <c r="Q68" s="5"/>
    </row>
    <row r="69" spans="1:17" x14ac:dyDescent="0.55000000000000004">
      <c r="A69" t="s">
        <v>49</v>
      </c>
      <c r="B69">
        <v>14.28</v>
      </c>
      <c r="C69" s="5">
        <f t="shared" si="4"/>
        <v>8.59</v>
      </c>
      <c r="D69" s="5">
        <f t="shared" si="5"/>
        <v>19.97</v>
      </c>
      <c r="E69">
        <v>14.28</v>
      </c>
      <c r="F69">
        <v>18</v>
      </c>
      <c r="G69">
        <v>16</v>
      </c>
      <c r="H69" s="8">
        <v>14</v>
      </c>
      <c r="I69" t="s">
        <v>81</v>
      </c>
      <c r="J69" t="s">
        <v>82</v>
      </c>
      <c r="K69" t="s">
        <v>77</v>
      </c>
      <c r="L69">
        <v>5.69</v>
      </c>
      <c r="P69" s="5"/>
      <c r="Q69" s="5"/>
    </row>
    <row r="70" spans="1:17" x14ac:dyDescent="0.55000000000000004">
      <c r="A70" t="s">
        <v>32</v>
      </c>
      <c r="B70">
        <v>14.29</v>
      </c>
      <c r="C70" s="5">
        <f t="shared" si="4"/>
        <v>8.5999999999999979</v>
      </c>
      <c r="D70" s="5">
        <f t="shared" si="5"/>
        <v>19.98</v>
      </c>
      <c r="E70">
        <v>19.98</v>
      </c>
      <c r="F70">
        <v>19</v>
      </c>
      <c r="G70">
        <v>23</v>
      </c>
      <c r="H70" s="8">
        <v>16</v>
      </c>
      <c r="I70" t="s">
        <v>81</v>
      </c>
      <c r="J70" t="s">
        <v>82</v>
      </c>
      <c r="K70" t="s">
        <v>77</v>
      </c>
      <c r="L70">
        <v>5.69</v>
      </c>
      <c r="P70" s="5"/>
      <c r="Q70" s="5"/>
    </row>
    <row r="71" spans="1:17" x14ac:dyDescent="0.55000000000000004">
      <c r="A71" t="s">
        <v>41</v>
      </c>
      <c r="B71">
        <v>14.3</v>
      </c>
      <c r="C71" s="5">
        <f t="shared" si="4"/>
        <v>8.61</v>
      </c>
      <c r="D71" s="5">
        <f t="shared" si="5"/>
        <v>19.990000000000002</v>
      </c>
      <c r="E71">
        <v>14.3</v>
      </c>
      <c r="F71">
        <v>20</v>
      </c>
      <c r="G71">
        <v>17</v>
      </c>
      <c r="H71" s="8">
        <v>18</v>
      </c>
      <c r="I71" t="s">
        <v>81</v>
      </c>
      <c r="J71" t="s">
        <v>82</v>
      </c>
      <c r="K71" t="s">
        <v>77</v>
      </c>
      <c r="L71">
        <v>5.69</v>
      </c>
      <c r="P71" s="5"/>
      <c r="Q71" s="5"/>
    </row>
    <row r="72" spans="1:17" x14ac:dyDescent="0.55000000000000004">
      <c r="A72" t="s">
        <v>48</v>
      </c>
      <c r="B72">
        <v>14.44</v>
      </c>
      <c r="C72" s="5">
        <f t="shared" si="4"/>
        <v>8.75</v>
      </c>
      <c r="D72" s="5">
        <f t="shared" si="5"/>
        <v>20.13</v>
      </c>
      <c r="E72">
        <v>8.75</v>
      </c>
      <c r="F72">
        <v>21</v>
      </c>
      <c r="G72">
        <v>10</v>
      </c>
      <c r="H72" s="8">
        <v>19</v>
      </c>
      <c r="I72" t="s">
        <v>81</v>
      </c>
      <c r="J72" t="s">
        <v>82</v>
      </c>
      <c r="K72" t="s">
        <v>77</v>
      </c>
      <c r="L72">
        <v>5.69</v>
      </c>
      <c r="P72" s="5"/>
      <c r="Q72" s="5"/>
    </row>
    <row r="73" spans="1:17" x14ac:dyDescent="0.55000000000000004">
      <c r="A73" t="s">
        <v>31</v>
      </c>
      <c r="B73">
        <v>14.45</v>
      </c>
      <c r="C73" s="5">
        <f t="shared" si="4"/>
        <v>8.759999999999998</v>
      </c>
      <c r="D73" s="5">
        <f t="shared" si="5"/>
        <v>20.14</v>
      </c>
      <c r="E73">
        <v>14.45</v>
      </c>
      <c r="F73">
        <v>22</v>
      </c>
      <c r="G73">
        <v>18</v>
      </c>
      <c r="H73" s="8">
        <v>23</v>
      </c>
      <c r="I73" t="s">
        <v>81</v>
      </c>
      <c r="J73" t="s">
        <v>82</v>
      </c>
      <c r="K73" t="s">
        <v>77</v>
      </c>
      <c r="L73">
        <v>5.69</v>
      </c>
      <c r="P73" s="5"/>
      <c r="Q73" s="5"/>
    </row>
    <row r="74" spans="1:17" x14ac:dyDescent="0.55000000000000004">
      <c r="A74" t="s">
        <v>30</v>
      </c>
      <c r="B74">
        <v>14.83</v>
      </c>
      <c r="C74" s="5">
        <f t="shared" si="4"/>
        <v>9.14</v>
      </c>
      <c r="D74" s="5">
        <f t="shared" si="5"/>
        <v>20.52</v>
      </c>
      <c r="E74">
        <v>14.83</v>
      </c>
      <c r="F74">
        <v>23</v>
      </c>
      <c r="G74">
        <v>19</v>
      </c>
      <c r="H74" s="8">
        <v>13</v>
      </c>
      <c r="I74" t="s">
        <v>81</v>
      </c>
      <c r="J74" t="s">
        <v>82</v>
      </c>
      <c r="K74" t="s">
        <v>77</v>
      </c>
      <c r="L74">
        <v>5.69</v>
      </c>
      <c r="P74" s="5"/>
      <c r="Q74" s="5"/>
    </row>
    <row r="75" spans="1:17" x14ac:dyDescent="0.55000000000000004">
      <c r="A75" t="s">
        <v>47</v>
      </c>
      <c r="B75">
        <v>15.55</v>
      </c>
      <c r="C75" s="5">
        <f t="shared" si="4"/>
        <v>9.86</v>
      </c>
      <c r="D75" s="5">
        <f t="shared" si="5"/>
        <v>21.240000000000002</v>
      </c>
      <c r="E75">
        <v>21.24</v>
      </c>
      <c r="F75">
        <v>24</v>
      </c>
      <c r="G75">
        <v>24</v>
      </c>
      <c r="H75" s="8">
        <v>24</v>
      </c>
      <c r="I75" t="s">
        <v>81</v>
      </c>
      <c r="J75" t="s">
        <v>82</v>
      </c>
      <c r="K75" t="s">
        <v>77</v>
      </c>
      <c r="L75">
        <v>5.69</v>
      </c>
      <c r="P75" s="5"/>
      <c r="Q75" s="5"/>
    </row>
    <row r="76" spans="1:17" x14ac:dyDescent="0.55000000000000004">
      <c r="A76" t="s">
        <v>43</v>
      </c>
      <c r="B76">
        <v>16.579999999999998</v>
      </c>
      <c r="C76" s="5">
        <f t="shared" si="4"/>
        <v>10.889999999999997</v>
      </c>
      <c r="D76" s="5">
        <f t="shared" si="5"/>
        <v>22.27</v>
      </c>
      <c r="E76">
        <v>22.27</v>
      </c>
      <c r="F76">
        <v>25</v>
      </c>
      <c r="G76">
        <v>25</v>
      </c>
      <c r="H76" s="8">
        <v>21</v>
      </c>
      <c r="I76" t="s">
        <v>81</v>
      </c>
      <c r="J76" t="s">
        <v>82</v>
      </c>
      <c r="K76" t="s">
        <v>77</v>
      </c>
      <c r="L76">
        <v>5.69</v>
      </c>
      <c r="P76" s="5"/>
      <c r="Q76" s="5"/>
    </row>
    <row r="77" spans="1:17" x14ac:dyDescent="0.55000000000000004">
      <c r="A77" t="s">
        <v>39</v>
      </c>
      <c r="B77">
        <v>8.19</v>
      </c>
      <c r="C77" s="5">
        <f t="shared" ref="C77:C101" si="6">B77-5.56</f>
        <v>2.63</v>
      </c>
      <c r="D77" s="5">
        <f t="shared" ref="D77:D101" si="7">B77+5.56</f>
        <v>13.75</v>
      </c>
      <c r="E77" s="5">
        <v>2.63</v>
      </c>
      <c r="F77">
        <v>1</v>
      </c>
      <c r="G77">
        <v>1</v>
      </c>
      <c r="H77" s="8">
        <v>1</v>
      </c>
      <c r="I77" t="s">
        <v>75</v>
      </c>
      <c r="J77" t="s">
        <v>76</v>
      </c>
      <c r="K77" t="s">
        <v>77</v>
      </c>
      <c r="L77">
        <v>5.56</v>
      </c>
    </row>
    <row r="78" spans="1:17" x14ac:dyDescent="0.55000000000000004">
      <c r="A78" t="s">
        <v>36</v>
      </c>
      <c r="B78">
        <v>8.23</v>
      </c>
      <c r="C78" s="5">
        <f t="shared" si="6"/>
        <v>2.6700000000000008</v>
      </c>
      <c r="D78" s="5">
        <f t="shared" si="7"/>
        <v>13.79</v>
      </c>
      <c r="E78" s="5">
        <v>8.23</v>
      </c>
      <c r="F78">
        <v>2</v>
      </c>
      <c r="G78">
        <v>7</v>
      </c>
      <c r="H78" s="8">
        <v>16</v>
      </c>
      <c r="I78" t="s">
        <v>75</v>
      </c>
      <c r="J78" t="s">
        <v>76</v>
      </c>
      <c r="K78" t="s">
        <v>77</v>
      </c>
      <c r="L78">
        <v>5.56</v>
      </c>
    </row>
    <row r="79" spans="1:17" x14ac:dyDescent="0.55000000000000004">
      <c r="A79" t="s">
        <v>27</v>
      </c>
      <c r="B79">
        <v>8.49</v>
      </c>
      <c r="C79" s="5">
        <f t="shared" si="6"/>
        <v>2.9300000000000006</v>
      </c>
      <c r="D79" s="5">
        <f t="shared" si="7"/>
        <v>14.05</v>
      </c>
      <c r="E79" s="5">
        <v>8.49</v>
      </c>
      <c r="F79">
        <v>3</v>
      </c>
      <c r="G79">
        <v>8</v>
      </c>
      <c r="H79" s="8">
        <v>7</v>
      </c>
      <c r="I79" t="s">
        <v>75</v>
      </c>
      <c r="J79" t="s">
        <v>76</v>
      </c>
      <c r="K79" t="s">
        <v>77</v>
      </c>
      <c r="L79">
        <v>5.56</v>
      </c>
    </row>
    <row r="80" spans="1:17" x14ac:dyDescent="0.55000000000000004">
      <c r="A80" t="s">
        <v>37</v>
      </c>
      <c r="B80">
        <v>9.1</v>
      </c>
      <c r="C80" s="5">
        <f t="shared" si="6"/>
        <v>3.54</v>
      </c>
      <c r="D80" s="5">
        <f t="shared" si="7"/>
        <v>14.66</v>
      </c>
      <c r="E80" s="5">
        <v>9.1</v>
      </c>
      <c r="F80">
        <v>4</v>
      </c>
      <c r="G80">
        <v>9</v>
      </c>
      <c r="H80" s="8">
        <v>10</v>
      </c>
      <c r="I80" t="s">
        <v>75</v>
      </c>
      <c r="J80" t="s">
        <v>76</v>
      </c>
      <c r="K80" t="s">
        <v>77</v>
      </c>
      <c r="L80">
        <v>5.56</v>
      </c>
    </row>
    <row r="81" spans="1:12" x14ac:dyDescent="0.55000000000000004">
      <c r="A81" t="s">
        <v>34</v>
      </c>
      <c r="B81">
        <v>9.23</v>
      </c>
      <c r="C81" s="5">
        <f t="shared" si="6"/>
        <v>3.6700000000000008</v>
      </c>
      <c r="D81" s="5">
        <f t="shared" si="7"/>
        <v>14.79</v>
      </c>
      <c r="E81" s="5">
        <v>3.67</v>
      </c>
      <c r="F81">
        <v>5</v>
      </c>
      <c r="G81">
        <v>3</v>
      </c>
      <c r="H81" s="8">
        <v>2</v>
      </c>
      <c r="I81" t="s">
        <v>75</v>
      </c>
      <c r="J81" t="s">
        <v>76</v>
      </c>
      <c r="K81" t="s">
        <v>77</v>
      </c>
      <c r="L81">
        <v>5.56</v>
      </c>
    </row>
    <row r="82" spans="1:12" x14ac:dyDescent="0.55000000000000004">
      <c r="A82" t="s">
        <v>38</v>
      </c>
      <c r="B82">
        <v>9.23</v>
      </c>
      <c r="C82" s="5">
        <f t="shared" si="6"/>
        <v>3.6700000000000008</v>
      </c>
      <c r="D82" s="5">
        <f t="shared" si="7"/>
        <v>14.79</v>
      </c>
      <c r="E82" s="5">
        <v>3.67</v>
      </c>
      <c r="F82">
        <v>6</v>
      </c>
      <c r="G82">
        <v>2</v>
      </c>
      <c r="H82" s="8">
        <v>17</v>
      </c>
      <c r="I82" t="s">
        <v>75</v>
      </c>
      <c r="J82" t="s">
        <v>76</v>
      </c>
      <c r="K82" t="s">
        <v>77</v>
      </c>
      <c r="L82">
        <v>5.56</v>
      </c>
    </row>
    <row r="83" spans="1:12" x14ac:dyDescent="0.55000000000000004">
      <c r="A83" t="s">
        <v>25</v>
      </c>
      <c r="B83">
        <v>9.7200000000000006</v>
      </c>
      <c r="C83" s="5">
        <f t="shared" si="6"/>
        <v>4.160000000000001</v>
      </c>
      <c r="D83" s="5">
        <f t="shared" si="7"/>
        <v>15.280000000000001</v>
      </c>
      <c r="E83" s="5">
        <v>9.7200000000000006</v>
      </c>
      <c r="F83">
        <v>7</v>
      </c>
      <c r="G83">
        <v>10</v>
      </c>
      <c r="H83" s="8">
        <v>6</v>
      </c>
      <c r="I83" t="s">
        <v>75</v>
      </c>
      <c r="J83" t="s">
        <v>76</v>
      </c>
      <c r="K83" t="s">
        <v>77</v>
      </c>
      <c r="L83">
        <v>5.56</v>
      </c>
    </row>
    <row r="84" spans="1:12" x14ac:dyDescent="0.55000000000000004">
      <c r="A84" t="s">
        <v>33</v>
      </c>
      <c r="B84">
        <v>9.75</v>
      </c>
      <c r="C84" s="5">
        <f t="shared" si="6"/>
        <v>4.1900000000000004</v>
      </c>
      <c r="D84" s="5">
        <f t="shared" si="7"/>
        <v>15.309999999999999</v>
      </c>
      <c r="E84" s="5">
        <v>4.1900000000000004</v>
      </c>
      <c r="F84">
        <v>8</v>
      </c>
      <c r="G84">
        <v>4</v>
      </c>
      <c r="H84" s="8">
        <v>5</v>
      </c>
      <c r="I84" t="s">
        <v>75</v>
      </c>
      <c r="J84" t="s">
        <v>76</v>
      </c>
      <c r="K84" t="s">
        <v>77</v>
      </c>
      <c r="L84">
        <v>5.56</v>
      </c>
    </row>
    <row r="85" spans="1:12" x14ac:dyDescent="0.55000000000000004">
      <c r="A85" t="s">
        <v>40</v>
      </c>
      <c r="B85">
        <v>10.71</v>
      </c>
      <c r="C85" s="5">
        <f t="shared" si="6"/>
        <v>5.1500000000000012</v>
      </c>
      <c r="D85" s="5">
        <f t="shared" si="7"/>
        <v>16.27</v>
      </c>
      <c r="E85" s="5">
        <v>5.15</v>
      </c>
      <c r="F85">
        <v>9</v>
      </c>
      <c r="G85">
        <v>5</v>
      </c>
      <c r="H85" s="8">
        <v>12</v>
      </c>
      <c r="I85" t="s">
        <v>75</v>
      </c>
      <c r="J85" t="s">
        <v>76</v>
      </c>
      <c r="K85" t="s">
        <v>77</v>
      </c>
      <c r="L85">
        <v>5.56</v>
      </c>
    </row>
    <row r="86" spans="1:12" x14ac:dyDescent="0.55000000000000004">
      <c r="A86" t="s">
        <v>45</v>
      </c>
      <c r="B86">
        <v>10.86</v>
      </c>
      <c r="C86" s="5">
        <f t="shared" si="6"/>
        <v>5.3</v>
      </c>
      <c r="D86" s="5">
        <f t="shared" si="7"/>
        <v>16.419999999999998</v>
      </c>
      <c r="E86" s="5">
        <v>10.86</v>
      </c>
      <c r="F86">
        <v>10</v>
      </c>
      <c r="G86">
        <v>11</v>
      </c>
      <c r="H86" s="8">
        <v>11</v>
      </c>
      <c r="I86" t="s">
        <v>75</v>
      </c>
      <c r="J86" t="s">
        <v>76</v>
      </c>
      <c r="K86" t="s">
        <v>77</v>
      </c>
      <c r="L86">
        <v>5.56</v>
      </c>
    </row>
    <row r="87" spans="1:12" x14ac:dyDescent="0.55000000000000004">
      <c r="A87" t="s">
        <v>35</v>
      </c>
      <c r="B87">
        <v>11.03</v>
      </c>
      <c r="C87" s="5">
        <f t="shared" si="6"/>
        <v>5.47</v>
      </c>
      <c r="D87" s="5">
        <f t="shared" si="7"/>
        <v>16.59</v>
      </c>
      <c r="E87" s="5">
        <v>5.47</v>
      </c>
      <c r="F87">
        <v>11</v>
      </c>
      <c r="G87">
        <v>6</v>
      </c>
      <c r="H87" s="8">
        <v>4</v>
      </c>
      <c r="I87" t="s">
        <v>75</v>
      </c>
      <c r="J87" t="s">
        <v>76</v>
      </c>
      <c r="K87" t="s">
        <v>77</v>
      </c>
      <c r="L87">
        <v>5.56</v>
      </c>
    </row>
    <row r="88" spans="1:12" x14ac:dyDescent="0.55000000000000004">
      <c r="A88" t="s">
        <v>44</v>
      </c>
      <c r="B88">
        <v>11.05</v>
      </c>
      <c r="C88" s="5">
        <f t="shared" si="6"/>
        <v>5.4900000000000011</v>
      </c>
      <c r="D88" s="5">
        <f t="shared" si="7"/>
        <v>16.61</v>
      </c>
      <c r="E88" s="5">
        <v>11.05</v>
      </c>
      <c r="F88">
        <v>12</v>
      </c>
      <c r="G88">
        <v>12</v>
      </c>
      <c r="H88" s="8">
        <v>13</v>
      </c>
      <c r="I88" t="s">
        <v>75</v>
      </c>
      <c r="J88" t="s">
        <v>76</v>
      </c>
      <c r="K88" t="s">
        <v>77</v>
      </c>
      <c r="L88">
        <v>5.56</v>
      </c>
    </row>
    <row r="89" spans="1:12" x14ac:dyDescent="0.55000000000000004">
      <c r="A89" t="s">
        <v>28</v>
      </c>
      <c r="B89">
        <v>11.75</v>
      </c>
      <c r="C89" s="5">
        <f t="shared" si="6"/>
        <v>6.19</v>
      </c>
      <c r="D89" s="5">
        <f t="shared" si="7"/>
        <v>17.309999999999999</v>
      </c>
      <c r="E89" s="5">
        <v>11.75</v>
      </c>
      <c r="F89">
        <v>13</v>
      </c>
      <c r="G89">
        <v>13</v>
      </c>
      <c r="H89" s="8">
        <v>9</v>
      </c>
      <c r="I89" t="s">
        <v>75</v>
      </c>
      <c r="J89" t="s">
        <v>76</v>
      </c>
      <c r="K89" t="s">
        <v>77</v>
      </c>
      <c r="L89">
        <v>5.56</v>
      </c>
    </row>
    <row r="90" spans="1:12" x14ac:dyDescent="0.55000000000000004">
      <c r="A90" t="s">
        <v>41</v>
      </c>
      <c r="B90">
        <v>11.83</v>
      </c>
      <c r="C90" s="5">
        <f t="shared" si="6"/>
        <v>6.2700000000000005</v>
      </c>
      <c r="D90" s="5">
        <f t="shared" si="7"/>
        <v>17.39</v>
      </c>
      <c r="E90" s="5">
        <v>17.39</v>
      </c>
      <c r="F90">
        <v>14</v>
      </c>
      <c r="G90">
        <v>20</v>
      </c>
      <c r="H90" s="8">
        <v>3</v>
      </c>
      <c r="I90" t="s">
        <v>75</v>
      </c>
      <c r="J90" t="s">
        <v>76</v>
      </c>
      <c r="K90" t="s">
        <v>77</v>
      </c>
      <c r="L90">
        <v>5.56</v>
      </c>
    </row>
    <row r="91" spans="1:12" x14ac:dyDescent="0.55000000000000004">
      <c r="A91" t="s">
        <v>48</v>
      </c>
      <c r="B91">
        <v>12.26</v>
      </c>
      <c r="C91" s="5">
        <f t="shared" si="6"/>
        <v>6.7</v>
      </c>
      <c r="D91" s="5">
        <f t="shared" si="7"/>
        <v>17.82</v>
      </c>
      <c r="E91" s="5">
        <v>12.26</v>
      </c>
      <c r="F91">
        <v>15</v>
      </c>
      <c r="G91">
        <v>14</v>
      </c>
      <c r="H91" s="8">
        <v>20</v>
      </c>
      <c r="I91" t="s">
        <v>75</v>
      </c>
      <c r="J91" t="s">
        <v>76</v>
      </c>
      <c r="K91" t="s">
        <v>77</v>
      </c>
      <c r="L91">
        <v>5.56</v>
      </c>
    </row>
    <row r="92" spans="1:12" x14ac:dyDescent="0.55000000000000004">
      <c r="A92" t="s">
        <v>31</v>
      </c>
      <c r="B92">
        <v>13.14</v>
      </c>
      <c r="C92" s="5">
        <f t="shared" si="6"/>
        <v>7.580000000000001</v>
      </c>
      <c r="D92" s="5">
        <f t="shared" si="7"/>
        <v>18.7</v>
      </c>
      <c r="E92" s="5">
        <v>13.14</v>
      </c>
      <c r="F92">
        <v>16</v>
      </c>
      <c r="G92">
        <v>15</v>
      </c>
      <c r="H92" s="8">
        <v>15</v>
      </c>
      <c r="I92" t="s">
        <v>75</v>
      </c>
      <c r="J92" t="s">
        <v>76</v>
      </c>
      <c r="K92" t="s">
        <v>77</v>
      </c>
      <c r="L92">
        <v>5.56</v>
      </c>
    </row>
    <row r="93" spans="1:12" x14ac:dyDescent="0.55000000000000004">
      <c r="A93" t="s">
        <v>49</v>
      </c>
      <c r="B93">
        <v>13.59</v>
      </c>
      <c r="C93" s="5">
        <f t="shared" si="6"/>
        <v>8.0300000000000011</v>
      </c>
      <c r="D93" s="5">
        <f t="shared" si="7"/>
        <v>19.149999999999999</v>
      </c>
      <c r="E93" s="5">
        <v>13.59</v>
      </c>
      <c r="F93">
        <v>17</v>
      </c>
      <c r="G93">
        <v>16</v>
      </c>
      <c r="H93" s="8">
        <v>14</v>
      </c>
      <c r="I93" t="s">
        <v>75</v>
      </c>
      <c r="J93" t="s">
        <v>76</v>
      </c>
      <c r="K93" t="s">
        <v>77</v>
      </c>
      <c r="L93">
        <v>5.56</v>
      </c>
    </row>
    <row r="94" spans="1:12" x14ac:dyDescent="0.55000000000000004">
      <c r="A94" t="s">
        <v>47</v>
      </c>
      <c r="B94">
        <v>13.94</v>
      </c>
      <c r="C94" s="5">
        <f t="shared" si="6"/>
        <v>8.379999999999999</v>
      </c>
      <c r="D94" s="5">
        <f t="shared" si="7"/>
        <v>19.5</v>
      </c>
      <c r="E94" s="5">
        <v>19.5</v>
      </c>
      <c r="F94">
        <v>18</v>
      </c>
      <c r="G94">
        <v>21</v>
      </c>
      <c r="H94" s="8">
        <v>18</v>
      </c>
      <c r="I94" t="s">
        <v>75</v>
      </c>
      <c r="J94" t="s">
        <v>76</v>
      </c>
      <c r="K94" t="s">
        <v>77</v>
      </c>
      <c r="L94">
        <v>5.56</v>
      </c>
    </row>
    <row r="95" spans="1:12" x14ac:dyDescent="0.55000000000000004">
      <c r="A95" t="s">
        <v>42</v>
      </c>
      <c r="B95">
        <v>14.04</v>
      </c>
      <c r="C95" s="5">
        <f t="shared" si="6"/>
        <v>8.48</v>
      </c>
      <c r="D95" s="5">
        <f t="shared" si="7"/>
        <v>19.599999999999998</v>
      </c>
      <c r="E95" s="5">
        <v>19.600000000000001</v>
      </c>
      <c r="F95">
        <v>19</v>
      </c>
      <c r="G95">
        <v>22</v>
      </c>
      <c r="H95" s="8">
        <v>19</v>
      </c>
      <c r="I95" t="s">
        <v>75</v>
      </c>
      <c r="J95" t="s">
        <v>76</v>
      </c>
      <c r="K95" t="s">
        <v>77</v>
      </c>
      <c r="L95">
        <v>5.56</v>
      </c>
    </row>
    <row r="96" spans="1:12" x14ac:dyDescent="0.55000000000000004">
      <c r="A96" t="s">
        <v>29</v>
      </c>
      <c r="B96">
        <v>14.33</v>
      </c>
      <c r="C96" s="5">
        <f t="shared" si="6"/>
        <v>8.77</v>
      </c>
      <c r="D96" s="5">
        <f t="shared" si="7"/>
        <v>19.89</v>
      </c>
      <c r="E96" s="5">
        <v>14.33</v>
      </c>
      <c r="F96">
        <v>20</v>
      </c>
      <c r="G96">
        <v>17</v>
      </c>
      <c r="H96" s="8">
        <v>8</v>
      </c>
      <c r="I96" t="s">
        <v>75</v>
      </c>
      <c r="J96" t="s">
        <v>76</v>
      </c>
      <c r="K96" t="s">
        <v>77</v>
      </c>
      <c r="L96">
        <v>5.56</v>
      </c>
    </row>
    <row r="97" spans="1:15" x14ac:dyDescent="0.55000000000000004">
      <c r="A97" t="s">
        <v>30</v>
      </c>
      <c r="B97">
        <v>14.44</v>
      </c>
      <c r="C97" s="5">
        <f t="shared" si="6"/>
        <v>8.879999999999999</v>
      </c>
      <c r="D97" s="5">
        <f t="shared" si="7"/>
        <v>20</v>
      </c>
      <c r="E97" s="5">
        <v>14.44</v>
      </c>
      <c r="F97">
        <v>21</v>
      </c>
      <c r="G97">
        <v>18</v>
      </c>
      <c r="H97" s="8">
        <v>25</v>
      </c>
      <c r="I97" t="s">
        <v>75</v>
      </c>
      <c r="J97" t="s">
        <v>76</v>
      </c>
      <c r="K97" t="s">
        <v>77</v>
      </c>
      <c r="L97">
        <v>5.56</v>
      </c>
    </row>
    <row r="98" spans="1:15" x14ac:dyDescent="0.55000000000000004">
      <c r="A98" t="s">
        <v>46</v>
      </c>
      <c r="B98">
        <v>15.23</v>
      </c>
      <c r="C98" s="5">
        <f t="shared" si="6"/>
        <v>9.6700000000000017</v>
      </c>
      <c r="D98" s="5">
        <f t="shared" si="7"/>
        <v>20.79</v>
      </c>
      <c r="E98" s="5">
        <v>20.79</v>
      </c>
      <c r="F98">
        <v>22</v>
      </c>
      <c r="G98">
        <v>23</v>
      </c>
      <c r="H98" s="8">
        <v>24</v>
      </c>
      <c r="I98" t="s">
        <v>75</v>
      </c>
      <c r="J98" t="s">
        <v>76</v>
      </c>
      <c r="K98" t="s">
        <v>77</v>
      </c>
      <c r="L98">
        <v>5.56</v>
      </c>
    </row>
    <row r="99" spans="1:15" x14ac:dyDescent="0.55000000000000004">
      <c r="A99" t="s">
        <v>32</v>
      </c>
      <c r="B99">
        <v>15.95</v>
      </c>
      <c r="C99" s="5">
        <f t="shared" si="6"/>
        <v>10.39</v>
      </c>
      <c r="D99" s="5">
        <f t="shared" si="7"/>
        <v>21.509999999999998</v>
      </c>
      <c r="E99" s="5">
        <v>15.95</v>
      </c>
      <c r="F99">
        <v>23</v>
      </c>
      <c r="G99">
        <v>19</v>
      </c>
      <c r="H99" s="8">
        <v>23</v>
      </c>
      <c r="I99" t="s">
        <v>75</v>
      </c>
      <c r="J99" t="s">
        <v>76</v>
      </c>
      <c r="K99" t="s">
        <v>77</v>
      </c>
      <c r="L99">
        <v>5.56</v>
      </c>
    </row>
    <row r="100" spans="1:15" x14ac:dyDescent="0.55000000000000004">
      <c r="A100" t="s">
        <v>26</v>
      </c>
      <c r="B100">
        <v>16.3</v>
      </c>
      <c r="C100" s="5">
        <f t="shared" si="6"/>
        <v>10.740000000000002</v>
      </c>
      <c r="D100" s="5">
        <f t="shared" si="7"/>
        <v>21.86</v>
      </c>
      <c r="E100" s="5">
        <v>21.86</v>
      </c>
      <c r="F100">
        <v>24</v>
      </c>
      <c r="G100">
        <v>24</v>
      </c>
      <c r="H100" s="8">
        <v>21</v>
      </c>
      <c r="I100" t="s">
        <v>75</v>
      </c>
      <c r="J100" t="s">
        <v>76</v>
      </c>
      <c r="K100" t="s">
        <v>77</v>
      </c>
      <c r="L100">
        <v>5.56</v>
      </c>
    </row>
    <row r="101" spans="1:15" x14ac:dyDescent="0.55000000000000004">
      <c r="A101" t="s">
        <v>43</v>
      </c>
      <c r="B101">
        <v>16.68</v>
      </c>
      <c r="C101" s="5">
        <f t="shared" si="6"/>
        <v>11.120000000000001</v>
      </c>
      <c r="D101" s="5">
        <f t="shared" si="7"/>
        <v>22.24</v>
      </c>
      <c r="E101" s="5">
        <v>22.24</v>
      </c>
      <c r="F101">
        <v>25</v>
      </c>
      <c r="G101">
        <v>25</v>
      </c>
      <c r="H101" s="8">
        <v>22</v>
      </c>
      <c r="I101" t="s">
        <v>75</v>
      </c>
      <c r="J101" t="s">
        <v>76</v>
      </c>
      <c r="K101" t="s">
        <v>77</v>
      </c>
      <c r="L101">
        <v>5.56</v>
      </c>
    </row>
    <row r="102" spans="1:15" x14ac:dyDescent="0.55000000000000004">
      <c r="A102" s="6" t="s">
        <v>39</v>
      </c>
      <c r="B102" s="6">
        <v>7.76</v>
      </c>
      <c r="C102" s="5">
        <f>B102-L102</f>
        <v>2.2699999999999996</v>
      </c>
      <c r="D102" s="5">
        <f>B102+L102</f>
        <v>13.25</v>
      </c>
      <c r="E102" s="5">
        <v>2.27</v>
      </c>
      <c r="F102">
        <v>1</v>
      </c>
      <c r="G102" s="8">
        <v>1</v>
      </c>
      <c r="H102" s="8">
        <v>1</v>
      </c>
      <c r="I102" t="s">
        <v>88</v>
      </c>
      <c r="J102" t="s">
        <v>82</v>
      </c>
      <c r="K102" t="s">
        <v>77</v>
      </c>
      <c r="L102">
        <v>5.49</v>
      </c>
      <c r="N102" s="6"/>
      <c r="O102" s="5"/>
    </row>
    <row r="103" spans="1:15" x14ac:dyDescent="0.55000000000000004">
      <c r="A103" s="6" t="s">
        <v>27</v>
      </c>
      <c r="B103" s="6">
        <v>7.95</v>
      </c>
      <c r="C103" s="5">
        <f t="shared" ref="C103:C126" si="8">B103-L103</f>
        <v>2.46</v>
      </c>
      <c r="D103" s="5">
        <f t="shared" ref="D103:D126" si="9">B103+L103</f>
        <v>13.440000000000001</v>
      </c>
      <c r="E103" s="5">
        <v>7.95</v>
      </c>
      <c r="F103">
        <v>2</v>
      </c>
      <c r="G103" s="8">
        <v>7</v>
      </c>
      <c r="H103" s="8">
        <v>3</v>
      </c>
      <c r="I103" t="s">
        <v>88</v>
      </c>
      <c r="J103" t="s">
        <v>82</v>
      </c>
      <c r="K103" t="s">
        <v>77</v>
      </c>
      <c r="L103">
        <v>5.49</v>
      </c>
      <c r="N103" s="6"/>
      <c r="O103" s="5"/>
    </row>
    <row r="104" spans="1:15" x14ac:dyDescent="0.55000000000000004">
      <c r="A104" s="6" t="s">
        <v>33</v>
      </c>
      <c r="B104" s="6">
        <v>8.18</v>
      </c>
      <c r="C104" s="5">
        <f t="shared" si="8"/>
        <v>2.6899999999999995</v>
      </c>
      <c r="D104" s="5">
        <f t="shared" si="9"/>
        <v>13.67</v>
      </c>
      <c r="E104" s="5">
        <v>2.69</v>
      </c>
      <c r="F104">
        <v>3</v>
      </c>
      <c r="G104" s="8">
        <v>2</v>
      </c>
      <c r="H104" s="8">
        <v>4</v>
      </c>
      <c r="I104" t="s">
        <v>88</v>
      </c>
      <c r="J104" t="s">
        <v>82</v>
      </c>
      <c r="K104" t="s">
        <v>77</v>
      </c>
      <c r="L104">
        <v>5.49</v>
      </c>
      <c r="N104" s="6"/>
      <c r="O104" s="5"/>
    </row>
    <row r="105" spans="1:15" x14ac:dyDescent="0.55000000000000004">
      <c r="A105" s="6" t="s">
        <v>36</v>
      </c>
      <c r="B105" s="6">
        <v>8.5</v>
      </c>
      <c r="C105" s="5">
        <f t="shared" si="8"/>
        <v>3.01</v>
      </c>
      <c r="D105" s="5">
        <f t="shared" si="9"/>
        <v>13.99</v>
      </c>
      <c r="E105" s="5">
        <v>8.5</v>
      </c>
      <c r="F105">
        <v>4</v>
      </c>
      <c r="G105" s="8">
        <v>8</v>
      </c>
      <c r="H105" s="8">
        <v>6</v>
      </c>
      <c r="I105" t="s">
        <v>88</v>
      </c>
      <c r="J105" t="s">
        <v>82</v>
      </c>
      <c r="K105" t="s">
        <v>77</v>
      </c>
      <c r="L105">
        <v>5.49</v>
      </c>
      <c r="N105" s="6"/>
      <c r="O105" s="5"/>
    </row>
    <row r="106" spans="1:15" x14ac:dyDescent="0.55000000000000004">
      <c r="A106" s="6" t="s">
        <v>37</v>
      </c>
      <c r="B106" s="6">
        <v>9.1</v>
      </c>
      <c r="C106" s="5">
        <f t="shared" si="8"/>
        <v>3.6099999999999994</v>
      </c>
      <c r="D106" s="5">
        <f t="shared" si="9"/>
        <v>14.59</v>
      </c>
      <c r="E106" s="5">
        <v>9.1</v>
      </c>
      <c r="F106">
        <v>5</v>
      </c>
      <c r="G106" s="8">
        <v>9</v>
      </c>
      <c r="H106" s="8">
        <v>14</v>
      </c>
      <c r="I106" t="s">
        <v>88</v>
      </c>
      <c r="J106" t="s">
        <v>82</v>
      </c>
      <c r="K106" t="s">
        <v>77</v>
      </c>
      <c r="L106">
        <v>5.49</v>
      </c>
      <c r="N106" s="6"/>
      <c r="O106" s="5"/>
    </row>
    <row r="107" spans="1:15" x14ac:dyDescent="0.55000000000000004">
      <c r="A107" s="6" t="s">
        <v>38</v>
      </c>
      <c r="B107" s="6">
        <v>9.2799999999999994</v>
      </c>
      <c r="C107" s="5">
        <f t="shared" si="8"/>
        <v>3.7899999999999991</v>
      </c>
      <c r="D107" s="5">
        <f t="shared" si="9"/>
        <v>14.77</v>
      </c>
      <c r="E107" s="5">
        <v>3.79</v>
      </c>
      <c r="F107">
        <v>6</v>
      </c>
      <c r="G107" s="8">
        <v>3</v>
      </c>
      <c r="H107" s="8">
        <v>5</v>
      </c>
      <c r="I107" t="s">
        <v>88</v>
      </c>
      <c r="J107" t="s">
        <v>82</v>
      </c>
      <c r="K107" t="s">
        <v>77</v>
      </c>
      <c r="L107">
        <v>5.49</v>
      </c>
      <c r="N107" s="6"/>
      <c r="O107" s="5"/>
    </row>
    <row r="108" spans="1:15" x14ac:dyDescent="0.55000000000000004">
      <c r="A108" s="6" t="s">
        <v>34</v>
      </c>
      <c r="B108" s="6">
        <v>9.81</v>
      </c>
      <c r="C108" s="5">
        <f t="shared" si="8"/>
        <v>4.32</v>
      </c>
      <c r="D108" s="5">
        <f t="shared" si="9"/>
        <v>15.3</v>
      </c>
      <c r="E108" s="5">
        <v>4.32</v>
      </c>
      <c r="F108">
        <v>7</v>
      </c>
      <c r="G108" s="8">
        <v>4</v>
      </c>
      <c r="H108" s="8">
        <v>20</v>
      </c>
      <c r="I108" t="s">
        <v>88</v>
      </c>
      <c r="J108" t="s">
        <v>82</v>
      </c>
      <c r="K108" t="s">
        <v>77</v>
      </c>
      <c r="L108">
        <v>5.49</v>
      </c>
      <c r="N108" s="6"/>
      <c r="O108" s="5"/>
    </row>
    <row r="109" spans="1:15" x14ac:dyDescent="0.55000000000000004">
      <c r="A109" s="6" t="s">
        <v>25</v>
      </c>
      <c r="B109" s="6">
        <v>9.9600000000000009</v>
      </c>
      <c r="C109" s="5">
        <f t="shared" si="8"/>
        <v>4.4700000000000006</v>
      </c>
      <c r="D109" s="5">
        <f t="shared" si="9"/>
        <v>15.450000000000001</v>
      </c>
      <c r="E109" s="5">
        <v>9.9600000000000009</v>
      </c>
      <c r="F109">
        <v>8</v>
      </c>
      <c r="G109" s="8">
        <v>11</v>
      </c>
      <c r="H109" s="8">
        <v>24</v>
      </c>
      <c r="I109" t="s">
        <v>88</v>
      </c>
      <c r="J109" t="s">
        <v>82</v>
      </c>
      <c r="K109" t="s">
        <v>77</v>
      </c>
      <c r="L109">
        <v>5.49</v>
      </c>
      <c r="N109" s="6"/>
      <c r="O109" s="5"/>
    </row>
    <row r="110" spans="1:15" x14ac:dyDescent="0.55000000000000004">
      <c r="A110" s="6" t="s">
        <v>40</v>
      </c>
      <c r="B110" s="6">
        <v>10.36</v>
      </c>
      <c r="C110" s="5">
        <f t="shared" si="8"/>
        <v>4.8699999999999992</v>
      </c>
      <c r="D110" s="5">
        <f t="shared" si="9"/>
        <v>15.85</v>
      </c>
      <c r="E110" s="5">
        <v>4.87</v>
      </c>
      <c r="F110">
        <v>9</v>
      </c>
      <c r="G110" s="8">
        <v>5</v>
      </c>
      <c r="H110" s="8">
        <v>19</v>
      </c>
      <c r="I110" t="s">
        <v>88</v>
      </c>
      <c r="J110" t="s">
        <v>82</v>
      </c>
      <c r="K110" t="s">
        <v>77</v>
      </c>
      <c r="L110">
        <v>5.49</v>
      </c>
      <c r="N110" s="6"/>
      <c r="O110" s="5"/>
    </row>
    <row r="111" spans="1:15" x14ac:dyDescent="0.55000000000000004">
      <c r="A111" s="6" t="s">
        <v>35</v>
      </c>
      <c r="B111" s="6">
        <v>10.65</v>
      </c>
      <c r="C111" s="5">
        <f t="shared" si="8"/>
        <v>5.16</v>
      </c>
      <c r="D111" s="5">
        <f t="shared" si="9"/>
        <v>16.14</v>
      </c>
      <c r="E111" s="5">
        <v>5.16</v>
      </c>
      <c r="F111">
        <v>10</v>
      </c>
      <c r="G111" s="8">
        <v>6</v>
      </c>
      <c r="H111" s="8">
        <v>7</v>
      </c>
      <c r="I111" t="s">
        <v>88</v>
      </c>
      <c r="J111" t="s">
        <v>82</v>
      </c>
      <c r="K111" t="s">
        <v>77</v>
      </c>
      <c r="L111">
        <v>5.49</v>
      </c>
      <c r="N111" s="6"/>
      <c r="O111" s="5"/>
    </row>
    <row r="112" spans="1:15" x14ac:dyDescent="0.55000000000000004">
      <c r="A112" s="6" t="s">
        <v>28</v>
      </c>
      <c r="B112" s="6">
        <v>10.85</v>
      </c>
      <c r="C112" s="5">
        <f t="shared" si="8"/>
        <v>5.3599999999999994</v>
      </c>
      <c r="D112" s="5">
        <f t="shared" si="9"/>
        <v>16.34</v>
      </c>
      <c r="E112" s="5">
        <v>10.85</v>
      </c>
      <c r="F112">
        <v>11</v>
      </c>
      <c r="G112" s="8">
        <v>12</v>
      </c>
      <c r="H112" s="8">
        <v>25</v>
      </c>
      <c r="I112" t="s">
        <v>88</v>
      </c>
      <c r="J112" t="s">
        <v>82</v>
      </c>
      <c r="K112" t="s">
        <v>77</v>
      </c>
      <c r="L112">
        <v>5.49</v>
      </c>
      <c r="N112" s="6"/>
      <c r="O112" s="5"/>
    </row>
    <row r="113" spans="1:15" x14ac:dyDescent="0.55000000000000004">
      <c r="A113" s="6" t="s">
        <v>45</v>
      </c>
      <c r="B113" s="6">
        <v>11.79</v>
      </c>
      <c r="C113" s="5">
        <f t="shared" si="8"/>
        <v>6.2999999999999989</v>
      </c>
      <c r="D113" s="5">
        <f t="shared" si="9"/>
        <v>17.28</v>
      </c>
      <c r="E113" s="5">
        <v>11.79</v>
      </c>
      <c r="F113">
        <v>12</v>
      </c>
      <c r="G113" s="8">
        <v>13</v>
      </c>
      <c r="H113" s="8">
        <v>9</v>
      </c>
      <c r="I113" t="s">
        <v>88</v>
      </c>
      <c r="J113" t="s">
        <v>82</v>
      </c>
      <c r="K113" t="s">
        <v>77</v>
      </c>
      <c r="L113">
        <v>5.49</v>
      </c>
      <c r="N113" s="6"/>
      <c r="O113" s="5"/>
    </row>
    <row r="114" spans="1:15" x14ac:dyDescent="0.55000000000000004">
      <c r="A114" s="6" t="s">
        <v>48</v>
      </c>
      <c r="B114" s="6">
        <v>11.81</v>
      </c>
      <c r="C114" s="5">
        <f t="shared" si="8"/>
        <v>6.32</v>
      </c>
      <c r="D114" s="5">
        <f t="shared" si="9"/>
        <v>17.3</v>
      </c>
      <c r="E114" s="5">
        <v>11.81</v>
      </c>
      <c r="F114">
        <v>13</v>
      </c>
      <c r="G114" s="8">
        <v>14</v>
      </c>
      <c r="H114" s="8">
        <v>10</v>
      </c>
      <c r="I114" t="s">
        <v>88</v>
      </c>
      <c r="J114" t="s">
        <v>82</v>
      </c>
      <c r="K114" t="s">
        <v>77</v>
      </c>
      <c r="L114">
        <v>5.49</v>
      </c>
      <c r="N114" s="6"/>
      <c r="O114" s="5"/>
    </row>
    <row r="115" spans="1:15" x14ac:dyDescent="0.55000000000000004">
      <c r="A115" s="6" t="s">
        <v>44</v>
      </c>
      <c r="B115" s="6">
        <v>12.17</v>
      </c>
      <c r="C115" s="5">
        <f t="shared" si="8"/>
        <v>6.68</v>
      </c>
      <c r="D115" s="5">
        <f t="shared" si="9"/>
        <v>17.66</v>
      </c>
      <c r="E115" s="5">
        <v>12.17</v>
      </c>
      <c r="F115">
        <v>14</v>
      </c>
      <c r="G115" s="8">
        <v>15</v>
      </c>
      <c r="H115" s="8">
        <v>2</v>
      </c>
      <c r="I115" t="s">
        <v>88</v>
      </c>
      <c r="J115" t="s">
        <v>82</v>
      </c>
      <c r="K115" t="s">
        <v>77</v>
      </c>
      <c r="L115">
        <v>5.49</v>
      </c>
      <c r="N115" s="6"/>
      <c r="O115" s="5"/>
    </row>
    <row r="116" spans="1:15" x14ac:dyDescent="0.55000000000000004">
      <c r="A116" s="6" t="s">
        <v>41</v>
      </c>
      <c r="B116" s="6">
        <v>12.49</v>
      </c>
      <c r="C116" s="5">
        <f t="shared" si="8"/>
        <v>7</v>
      </c>
      <c r="D116" s="5">
        <f t="shared" si="9"/>
        <v>17.98</v>
      </c>
      <c r="E116" s="5">
        <v>12.49</v>
      </c>
      <c r="F116">
        <v>15</v>
      </c>
      <c r="G116" s="8">
        <v>16</v>
      </c>
      <c r="H116" s="8">
        <v>8</v>
      </c>
      <c r="I116" t="s">
        <v>88</v>
      </c>
      <c r="J116" t="s">
        <v>82</v>
      </c>
      <c r="K116" t="s">
        <v>77</v>
      </c>
      <c r="L116">
        <v>5.49</v>
      </c>
      <c r="N116" s="6"/>
      <c r="O116" s="5"/>
    </row>
    <row r="117" spans="1:15" x14ac:dyDescent="0.55000000000000004">
      <c r="A117" s="6" t="s">
        <v>32</v>
      </c>
      <c r="B117" s="6">
        <v>14.34</v>
      </c>
      <c r="C117" s="5">
        <f t="shared" si="8"/>
        <v>8.85</v>
      </c>
      <c r="D117" s="5">
        <f t="shared" si="9"/>
        <v>19.829999999999998</v>
      </c>
      <c r="E117" s="5">
        <v>14.34</v>
      </c>
      <c r="F117">
        <v>16</v>
      </c>
      <c r="G117" s="8">
        <v>17</v>
      </c>
      <c r="H117" s="8">
        <v>11</v>
      </c>
      <c r="I117" t="s">
        <v>88</v>
      </c>
      <c r="J117" t="s">
        <v>82</v>
      </c>
      <c r="K117" t="s">
        <v>77</v>
      </c>
      <c r="L117">
        <v>5.49</v>
      </c>
      <c r="N117" s="6"/>
      <c r="O117" s="5"/>
    </row>
    <row r="118" spans="1:15" x14ac:dyDescent="0.55000000000000004">
      <c r="A118" s="6" t="s">
        <v>49</v>
      </c>
      <c r="B118" s="6">
        <v>14.41</v>
      </c>
      <c r="C118" s="5">
        <f t="shared" si="8"/>
        <v>8.92</v>
      </c>
      <c r="D118" s="5">
        <f t="shared" si="9"/>
        <v>19.899999999999999</v>
      </c>
      <c r="E118" s="5">
        <v>14.41</v>
      </c>
      <c r="F118">
        <v>17</v>
      </c>
      <c r="G118" s="8">
        <v>18</v>
      </c>
      <c r="H118" s="8">
        <v>13</v>
      </c>
      <c r="I118" t="s">
        <v>88</v>
      </c>
      <c r="J118" t="s">
        <v>82</v>
      </c>
      <c r="K118" t="s">
        <v>77</v>
      </c>
      <c r="L118">
        <v>5.49</v>
      </c>
      <c r="N118" s="6"/>
      <c r="O118" s="5"/>
    </row>
    <row r="119" spans="1:15" x14ac:dyDescent="0.55000000000000004">
      <c r="A119" s="6" t="s">
        <v>42</v>
      </c>
      <c r="B119" s="6">
        <v>14.42</v>
      </c>
      <c r="C119" s="5">
        <f t="shared" si="8"/>
        <v>8.93</v>
      </c>
      <c r="D119" s="5">
        <f t="shared" si="9"/>
        <v>19.91</v>
      </c>
      <c r="E119" s="5">
        <v>19.91</v>
      </c>
      <c r="F119">
        <v>18</v>
      </c>
      <c r="G119" s="8">
        <v>23</v>
      </c>
      <c r="H119" s="8">
        <v>15</v>
      </c>
      <c r="I119" t="s">
        <v>88</v>
      </c>
      <c r="J119" t="s">
        <v>82</v>
      </c>
      <c r="K119" t="s">
        <v>77</v>
      </c>
      <c r="L119">
        <v>5.49</v>
      </c>
      <c r="N119" s="6"/>
      <c r="O119" s="5"/>
    </row>
    <row r="120" spans="1:15" x14ac:dyDescent="0.55000000000000004">
      <c r="A120" s="6" t="s">
        <v>29</v>
      </c>
      <c r="B120" s="6">
        <v>14.55</v>
      </c>
      <c r="C120" s="5">
        <f t="shared" si="8"/>
        <v>9.06</v>
      </c>
      <c r="D120" s="5">
        <f t="shared" si="9"/>
        <v>20.04</v>
      </c>
      <c r="E120" s="5">
        <v>14.55</v>
      </c>
      <c r="F120">
        <v>19</v>
      </c>
      <c r="G120" s="8">
        <v>19</v>
      </c>
      <c r="H120" s="8">
        <v>18</v>
      </c>
      <c r="I120" t="s">
        <v>88</v>
      </c>
      <c r="J120" t="s">
        <v>82</v>
      </c>
      <c r="K120" t="s">
        <v>77</v>
      </c>
      <c r="L120">
        <v>5.49</v>
      </c>
      <c r="N120" s="6"/>
      <c r="O120" s="5"/>
    </row>
    <row r="121" spans="1:15" x14ac:dyDescent="0.55000000000000004">
      <c r="A121" s="6" t="s">
        <v>31</v>
      </c>
      <c r="B121" s="6">
        <v>14.66</v>
      </c>
      <c r="C121" s="5">
        <f t="shared" si="8"/>
        <v>9.17</v>
      </c>
      <c r="D121" s="5">
        <f t="shared" si="9"/>
        <v>20.149999999999999</v>
      </c>
      <c r="E121" s="5">
        <v>9.17</v>
      </c>
      <c r="F121">
        <v>20</v>
      </c>
      <c r="G121" s="8">
        <v>10</v>
      </c>
      <c r="H121" s="8">
        <v>21</v>
      </c>
      <c r="I121" t="s">
        <v>88</v>
      </c>
      <c r="J121" t="s">
        <v>82</v>
      </c>
      <c r="K121" t="s">
        <v>77</v>
      </c>
      <c r="L121">
        <v>5.49</v>
      </c>
      <c r="N121" s="6"/>
      <c r="O121" s="5"/>
    </row>
    <row r="122" spans="1:15" x14ac:dyDescent="0.55000000000000004">
      <c r="A122" s="6" t="s">
        <v>30</v>
      </c>
      <c r="B122" s="6">
        <v>14.86</v>
      </c>
      <c r="C122" s="5">
        <f t="shared" si="8"/>
        <v>9.3699999999999992</v>
      </c>
      <c r="D122" s="5">
        <f t="shared" si="9"/>
        <v>20.350000000000001</v>
      </c>
      <c r="E122" s="5">
        <v>14.86</v>
      </c>
      <c r="F122">
        <v>21</v>
      </c>
      <c r="G122" s="8">
        <v>20</v>
      </c>
      <c r="H122" s="8">
        <v>16</v>
      </c>
      <c r="I122" t="s">
        <v>88</v>
      </c>
      <c r="J122" t="s">
        <v>82</v>
      </c>
      <c r="K122" t="s">
        <v>77</v>
      </c>
      <c r="L122">
        <v>5.49</v>
      </c>
      <c r="N122" s="6"/>
      <c r="O122" s="5"/>
    </row>
    <row r="123" spans="1:15" x14ac:dyDescent="0.55000000000000004">
      <c r="A123" s="6" t="s">
        <v>26</v>
      </c>
      <c r="B123" s="6">
        <v>15.43</v>
      </c>
      <c r="C123" s="5">
        <f t="shared" si="8"/>
        <v>9.94</v>
      </c>
      <c r="D123" s="5">
        <f t="shared" si="9"/>
        <v>20.92</v>
      </c>
      <c r="E123" s="5">
        <v>15.43</v>
      </c>
      <c r="F123">
        <v>22</v>
      </c>
      <c r="G123" s="8">
        <v>21</v>
      </c>
      <c r="H123" s="8">
        <v>22</v>
      </c>
      <c r="I123" t="s">
        <v>88</v>
      </c>
      <c r="J123" t="s">
        <v>82</v>
      </c>
      <c r="K123" t="s">
        <v>77</v>
      </c>
      <c r="L123">
        <v>5.49</v>
      </c>
      <c r="N123" s="6"/>
      <c r="O123" s="5"/>
    </row>
    <row r="124" spans="1:15" x14ac:dyDescent="0.55000000000000004">
      <c r="A124" s="6" t="s">
        <v>47</v>
      </c>
      <c r="B124" s="6">
        <v>15.97</v>
      </c>
      <c r="C124" s="5">
        <f t="shared" si="8"/>
        <v>10.48</v>
      </c>
      <c r="D124" s="5">
        <f t="shared" si="9"/>
        <v>21.46</v>
      </c>
      <c r="E124" s="5">
        <v>21.46</v>
      </c>
      <c r="F124">
        <v>23</v>
      </c>
      <c r="G124" s="8">
        <v>24</v>
      </c>
      <c r="H124" s="8">
        <v>12</v>
      </c>
      <c r="I124" t="s">
        <v>88</v>
      </c>
      <c r="J124" t="s">
        <v>82</v>
      </c>
      <c r="K124" t="s">
        <v>77</v>
      </c>
      <c r="L124">
        <v>5.49</v>
      </c>
      <c r="N124" s="6"/>
      <c r="O124" s="5"/>
    </row>
    <row r="125" spans="1:15" x14ac:dyDescent="0.55000000000000004">
      <c r="A125" s="6" t="s">
        <v>46</v>
      </c>
      <c r="B125" s="6">
        <v>16.899999999999999</v>
      </c>
      <c r="C125" s="5">
        <f t="shared" si="8"/>
        <v>11.409999999999998</v>
      </c>
      <c r="D125" s="5">
        <f t="shared" si="9"/>
        <v>22.39</v>
      </c>
      <c r="E125" s="5">
        <v>16.899999999999999</v>
      </c>
      <c r="F125">
        <v>24</v>
      </c>
      <c r="G125" s="8">
        <v>22</v>
      </c>
      <c r="H125" s="8">
        <v>17</v>
      </c>
      <c r="I125" t="s">
        <v>88</v>
      </c>
      <c r="J125" t="s">
        <v>82</v>
      </c>
      <c r="K125" t="s">
        <v>77</v>
      </c>
      <c r="L125">
        <v>5.49</v>
      </c>
      <c r="N125" s="6"/>
      <c r="O125" s="5"/>
    </row>
    <row r="126" spans="1:15" x14ac:dyDescent="0.55000000000000004">
      <c r="A126" s="6" t="s">
        <v>43</v>
      </c>
      <c r="B126" s="6">
        <v>17.48</v>
      </c>
      <c r="C126" s="5">
        <f t="shared" si="8"/>
        <v>11.99</v>
      </c>
      <c r="D126" s="5">
        <f t="shared" si="9"/>
        <v>22.97</v>
      </c>
      <c r="E126" s="5">
        <v>22.97</v>
      </c>
      <c r="F126">
        <v>25</v>
      </c>
      <c r="G126" s="8">
        <v>25</v>
      </c>
      <c r="H126" s="8">
        <v>23</v>
      </c>
      <c r="I126" t="s">
        <v>88</v>
      </c>
      <c r="J126" t="s">
        <v>82</v>
      </c>
      <c r="K126" t="s">
        <v>77</v>
      </c>
      <c r="L126">
        <v>5.49</v>
      </c>
      <c r="N126" s="6"/>
      <c r="O126" s="5"/>
    </row>
    <row r="127" spans="1:15" x14ac:dyDescent="0.55000000000000004">
      <c r="H127" s="8"/>
    </row>
    <row r="128" spans="1:15" x14ac:dyDescent="0.55000000000000004">
      <c r="H128" s="8"/>
    </row>
    <row r="129" spans="8:8" x14ac:dyDescent="0.55000000000000004">
      <c r="H129" s="8"/>
    </row>
    <row r="130" spans="8:8" x14ac:dyDescent="0.55000000000000004">
      <c r="H130" s="8"/>
    </row>
    <row r="131" spans="8:8" x14ac:dyDescent="0.55000000000000004">
      <c r="H131" s="8"/>
    </row>
    <row r="132" spans="8:8" x14ac:dyDescent="0.55000000000000004">
      <c r="H132" s="8"/>
    </row>
    <row r="133" spans="8:8" x14ac:dyDescent="0.55000000000000004">
      <c r="H133" s="8"/>
    </row>
    <row r="134" spans="8:8" x14ac:dyDescent="0.55000000000000004">
      <c r="H134" s="8"/>
    </row>
    <row r="135" spans="8:8" x14ac:dyDescent="0.55000000000000004">
      <c r="H135" s="8"/>
    </row>
    <row r="136" spans="8:8" x14ac:dyDescent="0.55000000000000004">
      <c r="H136" s="8"/>
    </row>
    <row r="137" spans="8:8" x14ac:dyDescent="0.55000000000000004">
      <c r="H137" s="8"/>
    </row>
    <row r="138" spans="8:8" x14ac:dyDescent="0.55000000000000004">
      <c r="H138" s="8"/>
    </row>
    <row r="139" spans="8:8" x14ac:dyDescent="0.55000000000000004">
      <c r="H139" s="8"/>
    </row>
    <row r="140" spans="8:8" x14ac:dyDescent="0.55000000000000004">
      <c r="H140" s="8"/>
    </row>
    <row r="141" spans="8:8" x14ac:dyDescent="0.55000000000000004">
      <c r="H141" s="8"/>
    </row>
    <row r="142" spans="8:8" x14ac:dyDescent="0.55000000000000004">
      <c r="H142" s="8"/>
    </row>
    <row r="143" spans="8:8" x14ac:dyDescent="0.55000000000000004">
      <c r="H143" s="8"/>
    </row>
    <row r="144" spans="8:8" x14ac:dyDescent="0.55000000000000004">
      <c r="H144" s="8"/>
    </row>
    <row r="145" spans="8:8" x14ac:dyDescent="0.55000000000000004">
      <c r="H145" s="8"/>
    </row>
    <row r="146" spans="8:8" x14ac:dyDescent="0.55000000000000004">
      <c r="H146" s="8"/>
    </row>
    <row r="147" spans="8:8" x14ac:dyDescent="0.55000000000000004">
      <c r="H147" s="8"/>
    </row>
    <row r="148" spans="8:8" x14ac:dyDescent="0.55000000000000004">
      <c r="H148" s="8"/>
    </row>
    <row r="149" spans="8:8" x14ac:dyDescent="0.55000000000000004">
      <c r="H149" s="8"/>
    </row>
    <row r="150" spans="8:8" x14ac:dyDescent="0.55000000000000004">
      <c r="H150" s="8"/>
    </row>
    <row r="151" spans="8:8" x14ac:dyDescent="0.55000000000000004">
      <c r="H151" s="8"/>
    </row>
    <row r="152" spans="8:8" x14ac:dyDescent="0.55000000000000004">
      <c r="H152" s="8"/>
    </row>
    <row r="153" spans="8:8" x14ac:dyDescent="0.55000000000000004">
      <c r="H153" s="8"/>
    </row>
    <row r="154" spans="8:8" x14ac:dyDescent="0.55000000000000004">
      <c r="H154" s="8"/>
    </row>
    <row r="155" spans="8:8" x14ac:dyDescent="0.55000000000000004">
      <c r="H155" s="8"/>
    </row>
    <row r="156" spans="8:8" x14ac:dyDescent="0.55000000000000004">
      <c r="H156" s="8"/>
    </row>
    <row r="157" spans="8:8" x14ac:dyDescent="0.55000000000000004">
      <c r="H157" s="8"/>
    </row>
    <row r="158" spans="8:8" x14ac:dyDescent="0.55000000000000004">
      <c r="H158" s="8"/>
    </row>
    <row r="159" spans="8:8" x14ac:dyDescent="0.55000000000000004">
      <c r="H159" s="8"/>
    </row>
    <row r="160" spans="8:8" x14ac:dyDescent="0.55000000000000004">
      <c r="H160" s="8"/>
    </row>
    <row r="161" spans="8:8" x14ac:dyDescent="0.55000000000000004">
      <c r="H161" s="8"/>
    </row>
    <row r="162" spans="8:8" x14ac:dyDescent="0.55000000000000004">
      <c r="H162" s="8"/>
    </row>
    <row r="163" spans="8:8" x14ac:dyDescent="0.55000000000000004">
      <c r="H163" s="8"/>
    </row>
    <row r="164" spans="8:8" x14ac:dyDescent="0.55000000000000004">
      <c r="H164" s="8"/>
    </row>
    <row r="165" spans="8:8" x14ac:dyDescent="0.55000000000000004">
      <c r="H165" s="8"/>
    </row>
    <row r="166" spans="8:8" x14ac:dyDescent="0.55000000000000004">
      <c r="H166" s="8"/>
    </row>
    <row r="167" spans="8:8" x14ac:dyDescent="0.55000000000000004">
      <c r="H167" s="8"/>
    </row>
    <row r="168" spans="8:8" x14ac:dyDescent="0.55000000000000004">
      <c r="H168" s="8"/>
    </row>
    <row r="169" spans="8:8" x14ac:dyDescent="0.55000000000000004">
      <c r="H169" s="8"/>
    </row>
    <row r="170" spans="8:8" x14ac:dyDescent="0.55000000000000004">
      <c r="H170" s="8"/>
    </row>
    <row r="171" spans="8:8" x14ac:dyDescent="0.55000000000000004">
      <c r="H171" s="8"/>
    </row>
    <row r="172" spans="8:8" x14ac:dyDescent="0.55000000000000004">
      <c r="H172" s="8"/>
    </row>
    <row r="173" spans="8:8" x14ac:dyDescent="0.55000000000000004">
      <c r="H173" s="8"/>
    </row>
    <row r="174" spans="8:8" x14ac:dyDescent="0.55000000000000004">
      <c r="H174" s="8"/>
    </row>
    <row r="175" spans="8:8" x14ac:dyDescent="0.55000000000000004">
      <c r="H175" s="8"/>
    </row>
    <row r="176" spans="8:8" x14ac:dyDescent="0.55000000000000004">
      <c r="H176" s="8"/>
    </row>
    <row r="177" spans="8:8" x14ac:dyDescent="0.55000000000000004">
      <c r="H177" s="8"/>
    </row>
    <row r="178" spans="8:8" x14ac:dyDescent="0.55000000000000004">
      <c r="H178" s="8"/>
    </row>
    <row r="179" spans="8:8" x14ac:dyDescent="0.55000000000000004">
      <c r="H179" s="8"/>
    </row>
    <row r="180" spans="8:8" x14ac:dyDescent="0.55000000000000004">
      <c r="H180" s="8"/>
    </row>
    <row r="181" spans="8:8" x14ac:dyDescent="0.55000000000000004">
      <c r="H181" s="8"/>
    </row>
    <row r="182" spans="8:8" x14ac:dyDescent="0.55000000000000004">
      <c r="H182" s="8"/>
    </row>
    <row r="183" spans="8:8" x14ac:dyDescent="0.55000000000000004">
      <c r="H183" s="8"/>
    </row>
    <row r="184" spans="8:8" x14ac:dyDescent="0.55000000000000004">
      <c r="H184" s="8"/>
    </row>
    <row r="185" spans="8:8" x14ac:dyDescent="0.55000000000000004">
      <c r="H185" s="8"/>
    </row>
    <row r="186" spans="8:8" x14ac:dyDescent="0.55000000000000004">
      <c r="H186" s="8"/>
    </row>
    <row r="187" spans="8:8" x14ac:dyDescent="0.55000000000000004">
      <c r="H187" s="8"/>
    </row>
    <row r="188" spans="8:8" x14ac:dyDescent="0.55000000000000004">
      <c r="H188" s="8"/>
    </row>
    <row r="189" spans="8:8" x14ac:dyDescent="0.55000000000000004">
      <c r="H189" s="8"/>
    </row>
    <row r="190" spans="8:8" x14ac:dyDescent="0.55000000000000004">
      <c r="H190" s="8"/>
    </row>
    <row r="191" spans="8:8" x14ac:dyDescent="0.55000000000000004">
      <c r="H191" s="8"/>
    </row>
    <row r="192" spans="8:8" x14ac:dyDescent="0.55000000000000004">
      <c r="H192" s="8"/>
    </row>
    <row r="193" spans="8:8" x14ac:dyDescent="0.55000000000000004">
      <c r="H193" s="8"/>
    </row>
    <row r="194" spans="8:8" x14ac:dyDescent="0.55000000000000004">
      <c r="H194" s="8"/>
    </row>
    <row r="195" spans="8:8" x14ac:dyDescent="0.55000000000000004">
      <c r="H195" s="8"/>
    </row>
    <row r="196" spans="8:8" x14ac:dyDescent="0.55000000000000004">
      <c r="H196" s="8"/>
    </row>
    <row r="197" spans="8:8" x14ac:dyDescent="0.55000000000000004">
      <c r="H197" s="8"/>
    </row>
    <row r="198" spans="8:8" x14ac:dyDescent="0.55000000000000004">
      <c r="H198" s="8"/>
    </row>
    <row r="199" spans="8:8" x14ac:dyDescent="0.55000000000000004">
      <c r="H199" s="8"/>
    </row>
    <row r="200" spans="8:8" x14ac:dyDescent="0.55000000000000004">
      <c r="H200" s="8"/>
    </row>
    <row r="201" spans="8:8" x14ac:dyDescent="0.55000000000000004">
      <c r="H201" s="8"/>
    </row>
    <row r="202" spans="8:8" x14ac:dyDescent="0.55000000000000004">
      <c r="H202" s="8"/>
    </row>
    <row r="203" spans="8:8" x14ac:dyDescent="0.55000000000000004">
      <c r="H203" s="8"/>
    </row>
    <row r="204" spans="8:8" x14ac:dyDescent="0.55000000000000004">
      <c r="H204" s="8"/>
    </row>
    <row r="205" spans="8:8" x14ac:dyDescent="0.55000000000000004">
      <c r="H205" s="8"/>
    </row>
    <row r="206" spans="8:8" x14ac:dyDescent="0.55000000000000004">
      <c r="H206" s="8"/>
    </row>
    <row r="207" spans="8:8" x14ac:dyDescent="0.55000000000000004">
      <c r="H207" s="8"/>
    </row>
    <row r="208" spans="8:8" x14ac:dyDescent="0.55000000000000004">
      <c r="H208" s="8"/>
    </row>
    <row r="209" spans="8:8" x14ac:dyDescent="0.55000000000000004">
      <c r="H209" s="8"/>
    </row>
    <row r="210" spans="8:8" x14ac:dyDescent="0.55000000000000004">
      <c r="H210" s="8"/>
    </row>
    <row r="211" spans="8:8" x14ac:dyDescent="0.55000000000000004">
      <c r="H211" s="8"/>
    </row>
    <row r="212" spans="8:8" x14ac:dyDescent="0.55000000000000004">
      <c r="H212" s="8"/>
    </row>
    <row r="213" spans="8:8" x14ac:dyDescent="0.55000000000000004">
      <c r="H213" s="8"/>
    </row>
    <row r="214" spans="8:8" x14ac:dyDescent="0.55000000000000004">
      <c r="H214" s="8"/>
    </row>
    <row r="215" spans="8:8" x14ac:dyDescent="0.55000000000000004">
      <c r="H215" s="8"/>
    </row>
    <row r="216" spans="8:8" x14ac:dyDescent="0.55000000000000004">
      <c r="H216" s="8"/>
    </row>
    <row r="217" spans="8:8" x14ac:dyDescent="0.55000000000000004">
      <c r="H217" s="8"/>
    </row>
    <row r="218" spans="8:8" x14ac:dyDescent="0.55000000000000004">
      <c r="H218" s="8"/>
    </row>
    <row r="219" spans="8:8" x14ac:dyDescent="0.55000000000000004">
      <c r="H219" s="8"/>
    </row>
    <row r="220" spans="8:8" x14ac:dyDescent="0.55000000000000004">
      <c r="H220" s="8"/>
    </row>
    <row r="221" spans="8:8" x14ac:dyDescent="0.55000000000000004">
      <c r="H221" s="8"/>
    </row>
    <row r="222" spans="8:8" x14ac:dyDescent="0.55000000000000004">
      <c r="H222" s="8"/>
    </row>
    <row r="223" spans="8:8" x14ac:dyDescent="0.55000000000000004">
      <c r="H223" s="8"/>
    </row>
    <row r="224" spans="8:8" x14ac:dyDescent="0.55000000000000004">
      <c r="H224" s="8"/>
    </row>
    <row r="225" spans="8:8" x14ac:dyDescent="0.55000000000000004">
      <c r="H225" s="8"/>
    </row>
    <row r="226" spans="8:8" x14ac:dyDescent="0.55000000000000004">
      <c r="H226" s="8"/>
    </row>
    <row r="227" spans="8:8" x14ac:dyDescent="0.55000000000000004">
      <c r="H227" s="8"/>
    </row>
    <row r="228" spans="8:8" x14ac:dyDescent="0.55000000000000004">
      <c r="H228" s="8"/>
    </row>
    <row r="229" spans="8:8" x14ac:dyDescent="0.55000000000000004">
      <c r="H229" s="8"/>
    </row>
    <row r="230" spans="8:8" x14ac:dyDescent="0.55000000000000004">
      <c r="H230" s="8"/>
    </row>
    <row r="231" spans="8:8" x14ac:dyDescent="0.55000000000000004">
      <c r="H231" s="8"/>
    </row>
    <row r="232" spans="8:8" x14ac:dyDescent="0.55000000000000004">
      <c r="H232" s="8"/>
    </row>
    <row r="233" spans="8:8" x14ac:dyDescent="0.55000000000000004">
      <c r="H233" s="8"/>
    </row>
    <row r="234" spans="8:8" x14ac:dyDescent="0.55000000000000004">
      <c r="H234" s="8"/>
    </row>
    <row r="235" spans="8:8" x14ac:dyDescent="0.55000000000000004">
      <c r="H235" s="8"/>
    </row>
    <row r="236" spans="8:8" x14ac:dyDescent="0.55000000000000004">
      <c r="H236" s="8"/>
    </row>
    <row r="237" spans="8:8" x14ac:dyDescent="0.55000000000000004">
      <c r="H237" s="8"/>
    </row>
    <row r="238" spans="8:8" x14ac:dyDescent="0.55000000000000004">
      <c r="H238" s="8"/>
    </row>
    <row r="239" spans="8:8" x14ac:dyDescent="0.55000000000000004">
      <c r="H239" s="8"/>
    </row>
    <row r="240" spans="8:8" x14ac:dyDescent="0.55000000000000004">
      <c r="H240" s="8"/>
    </row>
    <row r="241" spans="8:8" x14ac:dyDescent="0.55000000000000004">
      <c r="H241" s="8"/>
    </row>
    <row r="242" spans="8:8" x14ac:dyDescent="0.55000000000000004">
      <c r="H242" s="8"/>
    </row>
    <row r="243" spans="8:8" x14ac:dyDescent="0.55000000000000004">
      <c r="H243" s="8"/>
    </row>
    <row r="244" spans="8:8" x14ac:dyDescent="0.55000000000000004">
      <c r="H244" s="8"/>
    </row>
    <row r="245" spans="8:8" x14ac:dyDescent="0.55000000000000004">
      <c r="H245" s="8"/>
    </row>
    <row r="246" spans="8:8" x14ac:dyDescent="0.55000000000000004">
      <c r="H246" s="8"/>
    </row>
    <row r="247" spans="8:8" x14ac:dyDescent="0.55000000000000004">
      <c r="H247" s="8"/>
    </row>
    <row r="248" spans="8:8" x14ac:dyDescent="0.55000000000000004">
      <c r="H248" s="8"/>
    </row>
    <row r="249" spans="8:8" x14ac:dyDescent="0.55000000000000004">
      <c r="H249" s="8"/>
    </row>
    <row r="250" spans="8:8" x14ac:dyDescent="0.55000000000000004">
      <c r="H250" s="8"/>
    </row>
    <row r="251" spans="8:8" x14ac:dyDescent="0.55000000000000004">
      <c r="H251" s="8"/>
    </row>
    <row r="252" spans="8:8" x14ac:dyDescent="0.55000000000000004">
      <c r="H252" s="8"/>
    </row>
    <row r="253" spans="8:8" x14ac:dyDescent="0.55000000000000004">
      <c r="H253" s="8"/>
    </row>
    <row r="254" spans="8:8" x14ac:dyDescent="0.55000000000000004">
      <c r="H254" s="8"/>
    </row>
    <row r="255" spans="8:8" x14ac:dyDescent="0.55000000000000004">
      <c r="H255" s="8"/>
    </row>
    <row r="256" spans="8:8" x14ac:dyDescent="0.55000000000000004">
      <c r="H256" s="8"/>
    </row>
    <row r="257" spans="8:8" x14ac:dyDescent="0.55000000000000004">
      <c r="H257" s="8"/>
    </row>
    <row r="258" spans="8:8" x14ac:dyDescent="0.55000000000000004">
      <c r="H258" s="8"/>
    </row>
    <row r="259" spans="8:8" x14ac:dyDescent="0.55000000000000004">
      <c r="H259" s="8"/>
    </row>
    <row r="260" spans="8:8" x14ac:dyDescent="0.55000000000000004">
      <c r="H260" s="8"/>
    </row>
    <row r="261" spans="8:8" x14ac:dyDescent="0.55000000000000004">
      <c r="H261" s="8"/>
    </row>
    <row r="262" spans="8:8" x14ac:dyDescent="0.55000000000000004">
      <c r="H262" s="8"/>
    </row>
    <row r="263" spans="8:8" x14ac:dyDescent="0.55000000000000004">
      <c r="H263" s="8"/>
    </row>
    <row r="264" spans="8:8" x14ac:dyDescent="0.55000000000000004">
      <c r="H264" s="8"/>
    </row>
    <row r="265" spans="8:8" x14ac:dyDescent="0.55000000000000004">
      <c r="H265" s="8"/>
    </row>
    <row r="266" spans="8:8" x14ac:dyDescent="0.55000000000000004">
      <c r="H266" s="8"/>
    </row>
    <row r="267" spans="8:8" x14ac:dyDescent="0.55000000000000004">
      <c r="H267" s="8"/>
    </row>
    <row r="268" spans="8:8" x14ac:dyDescent="0.55000000000000004">
      <c r="H268" s="8"/>
    </row>
    <row r="269" spans="8:8" x14ac:dyDescent="0.55000000000000004">
      <c r="H269" s="8"/>
    </row>
    <row r="270" spans="8:8" x14ac:dyDescent="0.55000000000000004">
      <c r="H270" s="8"/>
    </row>
    <row r="271" spans="8:8" x14ac:dyDescent="0.55000000000000004">
      <c r="H271" s="8"/>
    </row>
    <row r="272" spans="8:8" x14ac:dyDescent="0.55000000000000004">
      <c r="H272" s="8"/>
    </row>
    <row r="273" spans="8:8" x14ac:dyDescent="0.55000000000000004">
      <c r="H273" s="8"/>
    </row>
    <row r="274" spans="8:8" x14ac:dyDescent="0.55000000000000004">
      <c r="H274" s="8"/>
    </row>
    <row r="275" spans="8:8" x14ac:dyDescent="0.55000000000000004">
      <c r="H275" s="8"/>
    </row>
    <row r="276" spans="8:8" x14ac:dyDescent="0.55000000000000004">
      <c r="H276" s="8"/>
    </row>
    <row r="277" spans="8:8" x14ac:dyDescent="0.55000000000000004">
      <c r="H277" s="8"/>
    </row>
    <row r="278" spans="8:8" x14ac:dyDescent="0.55000000000000004">
      <c r="H278" s="8"/>
    </row>
    <row r="279" spans="8:8" x14ac:dyDescent="0.55000000000000004">
      <c r="H279" s="8"/>
    </row>
    <row r="280" spans="8:8" x14ac:dyDescent="0.55000000000000004">
      <c r="H280" s="8"/>
    </row>
    <row r="281" spans="8:8" x14ac:dyDescent="0.55000000000000004">
      <c r="H281" s="8"/>
    </row>
    <row r="282" spans="8:8" x14ac:dyDescent="0.55000000000000004">
      <c r="H282" s="8"/>
    </row>
    <row r="283" spans="8:8" x14ac:dyDescent="0.55000000000000004">
      <c r="H283" s="8"/>
    </row>
    <row r="284" spans="8:8" x14ac:dyDescent="0.55000000000000004">
      <c r="H284" s="8"/>
    </row>
    <row r="285" spans="8:8" x14ac:dyDescent="0.55000000000000004">
      <c r="H285" s="8"/>
    </row>
    <row r="286" spans="8:8" x14ac:dyDescent="0.55000000000000004">
      <c r="H286" s="8"/>
    </row>
    <row r="287" spans="8:8" x14ac:dyDescent="0.55000000000000004">
      <c r="H287" s="8"/>
    </row>
    <row r="288" spans="8:8" x14ac:dyDescent="0.55000000000000004">
      <c r="H288" s="8"/>
    </row>
    <row r="289" spans="8:8" x14ac:dyDescent="0.55000000000000004">
      <c r="H289" s="8"/>
    </row>
    <row r="290" spans="8:8" x14ac:dyDescent="0.55000000000000004">
      <c r="H290" s="8"/>
    </row>
    <row r="291" spans="8:8" x14ac:dyDescent="0.55000000000000004">
      <c r="H291" s="8"/>
    </row>
    <row r="292" spans="8:8" x14ac:dyDescent="0.55000000000000004">
      <c r="H292" s="8"/>
    </row>
    <row r="293" spans="8:8" x14ac:dyDescent="0.55000000000000004">
      <c r="H293" s="8"/>
    </row>
    <row r="294" spans="8:8" x14ac:dyDescent="0.55000000000000004">
      <c r="H294" s="8"/>
    </row>
    <row r="295" spans="8:8" x14ac:dyDescent="0.55000000000000004">
      <c r="H295" s="8"/>
    </row>
    <row r="296" spans="8:8" x14ac:dyDescent="0.55000000000000004">
      <c r="H296" s="8"/>
    </row>
    <row r="297" spans="8:8" x14ac:dyDescent="0.55000000000000004">
      <c r="H297" s="8"/>
    </row>
    <row r="298" spans="8:8" x14ac:dyDescent="0.55000000000000004">
      <c r="H298" s="8"/>
    </row>
    <row r="299" spans="8:8" x14ac:dyDescent="0.55000000000000004">
      <c r="H299" s="8"/>
    </row>
    <row r="300" spans="8:8" x14ac:dyDescent="0.55000000000000004">
      <c r="H300" s="8"/>
    </row>
    <row r="301" spans="8:8" x14ac:dyDescent="0.55000000000000004">
      <c r="H301" s="8"/>
    </row>
    <row r="302" spans="8:8" x14ac:dyDescent="0.55000000000000004">
      <c r="H302" s="8"/>
    </row>
    <row r="303" spans="8:8" x14ac:dyDescent="0.55000000000000004">
      <c r="H303" s="8"/>
    </row>
    <row r="304" spans="8:8" x14ac:dyDescent="0.55000000000000004">
      <c r="H304" s="8"/>
    </row>
    <row r="305" spans="8:8" x14ac:dyDescent="0.55000000000000004">
      <c r="H305" s="8"/>
    </row>
    <row r="306" spans="8:8" x14ac:dyDescent="0.55000000000000004">
      <c r="H306" s="8"/>
    </row>
    <row r="307" spans="8:8" x14ac:dyDescent="0.55000000000000004">
      <c r="H307" s="8"/>
    </row>
    <row r="308" spans="8:8" x14ac:dyDescent="0.55000000000000004">
      <c r="H308" s="8"/>
    </row>
    <row r="309" spans="8:8" x14ac:dyDescent="0.55000000000000004">
      <c r="H309" s="8"/>
    </row>
    <row r="310" spans="8:8" x14ac:dyDescent="0.55000000000000004">
      <c r="H310" s="8"/>
    </row>
    <row r="311" spans="8:8" x14ac:dyDescent="0.55000000000000004">
      <c r="H311" s="8"/>
    </row>
    <row r="312" spans="8:8" x14ac:dyDescent="0.55000000000000004">
      <c r="H312" s="8"/>
    </row>
    <row r="313" spans="8:8" x14ac:dyDescent="0.55000000000000004">
      <c r="H313" s="8"/>
    </row>
    <row r="314" spans="8:8" x14ac:dyDescent="0.55000000000000004">
      <c r="H314" s="8"/>
    </row>
    <row r="315" spans="8:8" x14ac:dyDescent="0.55000000000000004">
      <c r="H315" s="8"/>
    </row>
    <row r="316" spans="8:8" x14ac:dyDescent="0.55000000000000004">
      <c r="H316" s="8"/>
    </row>
    <row r="317" spans="8:8" x14ac:dyDescent="0.55000000000000004">
      <c r="H317" s="8"/>
    </row>
    <row r="318" spans="8:8" x14ac:dyDescent="0.55000000000000004">
      <c r="H318" s="8"/>
    </row>
    <row r="319" spans="8:8" x14ac:dyDescent="0.55000000000000004">
      <c r="H319" s="8"/>
    </row>
    <row r="320" spans="8:8" x14ac:dyDescent="0.55000000000000004">
      <c r="H320" s="8"/>
    </row>
    <row r="321" spans="8:8" x14ac:dyDescent="0.55000000000000004">
      <c r="H321" s="8"/>
    </row>
    <row r="322" spans="8:8" x14ac:dyDescent="0.55000000000000004">
      <c r="H322" s="8"/>
    </row>
    <row r="323" spans="8:8" x14ac:dyDescent="0.55000000000000004">
      <c r="H323" s="8"/>
    </row>
    <row r="324" spans="8:8" x14ac:dyDescent="0.55000000000000004">
      <c r="H324" s="8"/>
    </row>
    <row r="325" spans="8:8" x14ac:dyDescent="0.55000000000000004">
      <c r="H325" s="8"/>
    </row>
    <row r="326" spans="8:8" x14ac:dyDescent="0.55000000000000004">
      <c r="H326" s="8"/>
    </row>
    <row r="327" spans="8:8" x14ac:dyDescent="0.55000000000000004">
      <c r="H327" s="8"/>
    </row>
    <row r="328" spans="8:8" x14ac:dyDescent="0.55000000000000004">
      <c r="H328" s="8"/>
    </row>
    <row r="329" spans="8:8" x14ac:dyDescent="0.55000000000000004">
      <c r="H329" s="8"/>
    </row>
    <row r="330" spans="8:8" x14ac:dyDescent="0.55000000000000004">
      <c r="H330" s="8"/>
    </row>
    <row r="331" spans="8:8" x14ac:dyDescent="0.55000000000000004">
      <c r="H331" s="8"/>
    </row>
    <row r="332" spans="8:8" x14ac:dyDescent="0.55000000000000004">
      <c r="H332" s="8"/>
    </row>
    <row r="333" spans="8:8" x14ac:dyDescent="0.55000000000000004">
      <c r="H333" s="8"/>
    </row>
    <row r="334" spans="8:8" x14ac:dyDescent="0.55000000000000004">
      <c r="H334" s="8"/>
    </row>
    <row r="335" spans="8:8" x14ac:dyDescent="0.55000000000000004">
      <c r="H335" s="8"/>
    </row>
    <row r="336" spans="8:8" x14ac:dyDescent="0.55000000000000004">
      <c r="H336" s="8"/>
    </row>
    <row r="337" spans="8:8" x14ac:dyDescent="0.55000000000000004">
      <c r="H337" s="8"/>
    </row>
    <row r="338" spans="8:8" x14ac:dyDescent="0.55000000000000004">
      <c r="H338" s="8"/>
    </row>
    <row r="339" spans="8:8" x14ac:dyDescent="0.55000000000000004">
      <c r="H339" s="8"/>
    </row>
    <row r="340" spans="8:8" x14ac:dyDescent="0.55000000000000004">
      <c r="H340" s="8"/>
    </row>
    <row r="341" spans="8:8" x14ac:dyDescent="0.55000000000000004">
      <c r="H341" s="8"/>
    </row>
    <row r="342" spans="8:8" x14ac:dyDescent="0.55000000000000004">
      <c r="H342" s="8"/>
    </row>
    <row r="343" spans="8:8" x14ac:dyDescent="0.55000000000000004">
      <c r="H343" s="8"/>
    </row>
    <row r="344" spans="8:8" x14ac:dyDescent="0.55000000000000004">
      <c r="H344" s="8"/>
    </row>
    <row r="345" spans="8:8" x14ac:dyDescent="0.55000000000000004">
      <c r="H345" s="8"/>
    </row>
    <row r="346" spans="8:8" x14ac:dyDescent="0.55000000000000004">
      <c r="H346" s="8"/>
    </row>
    <row r="347" spans="8:8" x14ac:dyDescent="0.55000000000000004">
      <c r="H347" s="8"/>
    </row>
    <row r="348" spans="8:8" x14ac:dyDescent="0.55000000000000004">
      <c r="H348" s="8"/>
    </row>
    <row r="349" spans="8:8" x14ac:dyDescent="0.55000000000000004">
      <c r="H349" s="8"/>
    </row>
    <row r="350" spans="8:8" x14ac:dyDescent="0.55000000000000004">
      <c r="H350" s="8"/>
    </row>
    <row r="351" spans="8:8" x14ac:dyDescent="0.55000000000000004">
      <c r="H351" s="8"/>
    </row>
    <row r="352" spans="8:8" x14ac:dyDescent="0.55000000000000004">
      <c r="H352" s="8"/>
    </row>
    <row r="353" spans="8:8" x14ac:dyDescent="0.55000000000000004">
      <c r="H353" s="8"/>
    </row>
    <row r="354" spans="8:8" x14ac:dyDescent="0.55000000000000004">
      <c r="H354" s="8"/>
    </row>
    <row r="355" spans="8:8" x14ac:dyDescent="0.55000000000000004">
      <c r="H355" s="8"/>
    </row>
    <row r="356" spans="8:8" x14ac:dyDescent="0.55000000000000004">
      <c r="H356" s="8"/>
    </row>
    <row r="357" spans="8:8" x14ac:dyDescent="0.55000000000000004">
      <c r="H357" s="8"/>
    </row>
  </sheetData>
  <sortState xmlns:xlrd2="http://schemas.microsoft.com/office/spreadsheetml/2017/richdata2" ref="N102:O126">
    <sortCondition ref="O102:O126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7A43-E97F-43B8-B77B-E77801AA7904}">
  <sheetPr>
    <pageSetUpPr fitToPage="1"/>
  </sheetPr>
  <dimension ref="A1:O126"/>
  <sheetViews>
    <sheetView tabSelected="1" workbookViewId="0">
      <pane ySplit="1" topLeftCell="A113" activePane="bottomLeft" state="frozen"/>
      <selection pane="bottomLeft" activeCell="I131" sqref="I131"/>
    </sheetView>
  </sheetViews>
  <sheetFormatPr defaultRowHeight="14.4" x14ac:dyDescent="0.55000000000000004"/>
  <cols>
    <col min="1" max="1" width="17.20703125" bestFit="1" customWidth="1"/>
    <col min="2" max="2" width="8.47265625" bestFit="1" customWidth="1"/>
    <col min="3" max="3" width="8.05078125" customWidth="1"/>
    <col min="5" max="5" width="10.68359375" bestFit="1" customWidth="1"/>
    <col min="6" max="6" width="9.47265625" bestFit="1" customWidth="1"/>
    <col min="7" max="7" width="7.89453125" customWidth="1"/>
    <col min="8" max="8" width="10.3125" bestFit="1" customWidth="1"/>
    <col min="9" max="9" width="19.5234375" bestFit="1" customWidth="1"/>
    <col min="10" max="10" width="8.15625" bestFit="1" customWidth="1"/>
    <col min="11" max="11" width="9.26171875" bestFit="1" customWidth="1"/>
    <col min="12" max="12" width="9" bestFit="1" customWidth="1"/>
    <col min="13" max="13" width="5.68359375" bestFit="1" customWidth="1"/>
    <col min="14" max="14" width="17.20703125" bestFit="1" customWidth="1"/>
  </cols>
  <sheetData>
    <row r="1" spans="1:14" x14ac:dyDescent="0.55000000000000004">
      <c r="A1" t="s">
        <v>66</v>
      </c>
      <c r="B1" t="s">
        <v>67</v>
      </c>
      <c r="C1" t="s">
        <v>79</v>
      </c>
      <c r="D1" t="s">
        <v>78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80</v>
      </c>
    </row>
    <row r="2" spans="1:14" x14ac:dyDescent="0.55000000000000004">
      <c r="A2" s="7" t="s">
        <v>39</v>
      </c>
      <c r="B2" s="9">
        <v>6.23</v>
      </c>
      <c r="C2" s="5">
        <f t="shared" ref="C2:C33" si="0">B2-L2</f>
        <v>1.0300000000000002</v>
      </c>
      <c r="D2" s="5">
        <f t="shared" ref="D2:D33" si="1">B2+L2</f>
        <v>11.43</v>
      </c>
      <c r="E2" s="5">
        <v>1.03</v>
      </c>
      <c r="F2">
        <v>1</v>
      </c>
      <c r="G2">
        <v>1</v>
      </c>
      <c r="H2">
        <v>1</v>
      </c>
      <c r="I2" t="s">
        <v>83</v>
      </c>
      <c r="J2" t="s">
        <v>82</v>
      </c>
      <c r="K2" t="s">
        <v>86</v>
      </c>
      <c r="L2" s="5">
        <v>5.2</v>
      </c>
      <c r="N2" s="7"/>
    </row>
    <row r="3" spans="1:14" x14ac:dyDescent="0.55000000000000004">
      <c r="A3" s="7" t="s">
        <v>36</v>
      </c>
      <c r="B3" s="9">
        <v>7.33</v>
      </c>
      <c r="C3" s="5">
        <f t="shared" si="0"/>
        <v>2.13</v>
      </c>
      <c r="D3" s="5">
        <f t="shared" si="1"/>
        <v>12.530000000000001</v>
      </c>
      <c r="E3" s="5">
        <v>2.13</v>
      </c>
      <c r="F3">
        <v>2</v>
      </c>
      <c r="G3">
        <v>2</v>
      </c>
      <c r="H3">
        <v>2</v>
      </c>
      <c r="I3" t="s">
        <v>83</v>
      </c>
      <c r="J3" t="s">
        <v>82</v>
      </c>
      <c r="K3" t="s">
        <v>86</v>
      </c>
      <c r="L3" s="5">
        <v>5.2</v>
      </c>
      <c r="N3" s="7"/>
    </row>
    <row r="4" spans="1:14" x14ac:dyDescent="0.55000000000000004">
      <c r="A4" s="7" t="s">
        <v>25</v>
      </c>
      <c r="B4" s="9">
        <v>8.7899999999999991</v>
      </c>
      <c r="C4" s="5">
        <f t="shared" si="0"/>
        <v>3.589999999999999</v>
      </c>
      <c r="D4" s="5">
        <f t="shared" si="1"/>
        <v>13.989999999999998</v>
      </c>
      <c r="E4" s="5">
        <v>8.7899999999999991</v>
      </c>
      <c r="F4">
        <v>3</v>
      </c>
      <c r="G4">
        <v>11</v>
      </c>
      <c r="H4">
        <v>11</v>
      </c>
      <c r="I4" t="s">
        <v>83</v>
      </c>
      <c r="J4" t="s">
        <v>82</v>
      </c>
      <c r="K4" t="s">
        <v>86</v>
      </c>
      <c r="L4" s="5">
        <v>5.2</v>
      </c>
      <c r="N4" s="7"/>
    </row>
    <row r="5" spans="1:14" x14ac:dyDescent="0.55000000000000004">
      <c r="A5" s="7" t="s">
        <v>38</v>
      </c>
      <c r="B5" s="9">
        <v>8.8000000000000007</v>
      </c>
      <c r="C5" s="5">
        <f t="shared" si="0"/>
        <v>3.6000000000000005</v>
      </c>
      <c r="D5" s="5">
        <f t="shared" si="1"/>
        <v>14</v>
      </c>
      <c r="E5" s="5">
        <v>3.6</v>
      </c>
      <c r="F5">
        <v>4</v>
      </c>
      <c r="G5">
        <v>3</v>
      </c>
      <c r="H5">
        <v>5</v>
      </c>
      <c r="I5" t="s">
        <v>83</v>
      </c>
      <c r="J5" t="s">
        <v>82</v>
      </c>
      <c r="K5" t="s">
        <v>86</v>
      </c>
      <c r="L5" s="5">
        <v>5.2</v>
      </c>
      <c r="N5" s="7"/>
    </row>
    <row r="6" spans="1:14" x14ac:dyDescent="0.55000000000000004">
      <c r="A6" s="7" t="s">
        <v>27</v>
      </c>
      <c r="B6" s="9">
        <v>8.85</v>
      </c>
      <c r="C6" s="5">
        <f t="shared" si="0"/>
        <v>3.6499999999999995</v>
      </c>
      <c r="D6" s="5">
        <f t="shared" si="1"/>
        <v>14.05</v>
      </c>
      <c r="E6" s="5">
        <v>3.65</v>
      </c>
      <c r="F6">
        <v>5</v>
      </c>
      <c r="G6">
        <v>4</v>
      </c>
      <c r="H6">
        <v>23</v>
      </c>
      <c r="I6" t="s">
        <v>83</v>
      </c>
      <c r="J6" t="s">
        <v>82</v>
      </c>
      <c r="K6" t="s">
        <v>86</v>
      </c>
      <c r="L6" s="5">
        <v>5.2</v>
      </c>
      <c r="N6" s="7"/>
    </row>
    <row r="7" spans="1:14" x14ac:dyDescent="0.55000000000000004">
      <c r="A7" s="7" t="s">
        <v>28</v>
      </c>
      <c r="B7" s="9">
        <v>9.3000000000000007</v>
      </c>
      <c r="C7" s="5">
        <f t="shared" si="0"/>
        <v>4.1000000000000005</v>
      </c>
      <c r="D7" s="5">
        <f t="shared" si="1"/>
        <v>14.5</v>
      </c>
      <c r="E7" s="5">
        <v>14.5</v>
      </c>
      <c r="F7">
        <v>6</v>
      </c>
      <c r="G7">
        <v>19</v>
      </c>
      <c r="H7">
        <v>6</v>
      </c>
      <c r="I7" t="s">
        <v>83</v>
      </c>
      <c r="J7" t="s">
        <v>82</v>
      </c>
      <c r="K7" t="s">
        <v>86</v>
      </c>
      <c r="L7" s="5">
        <v>5.2</v>
      </c>
      <c r="N7" s="7"/>
    </row>
    <row r="8" spans="1:14" x14ac:dyDescent="0.55000000000000004">
      <c r="A8" s="7" t="s">
        <v>35</v>
      </c>
      <c r="B8" s="9">
        <v>9.57</v>
      </c>
      <c r="C8" s="5">
        <f t="shared" si="0"/>
        <v>4.37</v>
      </c>
      <c r="D8" s="5">
        <f t="shared" si="1"/>
        <v>14.77</v>
      </c>
      <c r="E8" s="5">
        <v>4.37</v>
      </c>
      <c r="F8">
        <v>7</v>
      </c>
      <c r="G8">
        <v>5</v>
      </c>
      <c r="H8">
        <v>13</v>
      </c>
      <c r="I8" t="s">
        <v>83</v>
      </c>
      <c r="J8" t="s">
        <v>82</v>
      </c>
      <c r="K8" t="s">
        <v>86</v>
      </c>
      <c r="L8" s="5">
        <v>5.2</v>
      </c>
      <c r="N8" s="7"/>
    </row>
    <row r="9" spans="1:14" x14ac:dyDescent="0.55000000000000004">
      <c r="A9" s="7" t="s">
        <v>33</v>
      </c>
      <c r="B9" s="9">
        <v>10.210000000000001</v>
      </c>
      <c r="C9" s="5">
        <f t="shared" si="0"/>
        <v>5.0100000000000007</v>
      </c>
      <c r="D9" s="5">
        <f t="shared" si="1"/>
        <v>15.41</v>
      </c>
      <c r="E9" s="5">
        <v>5.01</v>
      </c>
      <c r="F9">
        <v>8</v>
      </c>
      <c r="G9">
        <v>6</v>
      </c>
      <c r="H9">
        <v>4</v>
      </c>
      <c r="I9" t="s">
        <v>83</v>
      </c>
      <c r="J9" t="s">
        <v>82</v>
      </c>
      <c r="K9" t="s">
        <v>86</v>
      </c>
      <c r="L9" s="5">
        <v>5.2</v>
      </c>
      <c r="N9" s="7"/>
    </row>
    <row r="10" spans="1:14" x14ac:dyDescent="0.55000000000000004">
      <c r="A10" s="7" t="s">
        <v>34</v>
      </c>
      <c r="B10" s="9">
        <v>10.56</v>
      </c>
      <c r="C10" s="5">
        <f t="shared" si="0"/>
        <v>5.36</v>
      </c>
      <c r="D10" s="5">
        <f t="shared" si="1"/>
        <v>15.760000000000002</v>
      </c>
      <c r="E10" s="5">
        <v>5.36</v>
      </c>
      <c r="F10">
        <v>9</v>
      </c>
      <c r="G10">
        <v>7</v>
      </c>
      <c r="H10">
        <v>3</v>
      </c>
      <c r="I10" t="s">
        <v>83</v>
      </c>
      <c r="J10" t="s">
        <v>82</v>
      </c>
      <c r="K10" t="s">
        <v>86</v>
      </c>
      <c r="L10" s="5">
        <v>5.2</v>
      </c>
      <c r="N10" s="7"/>
    </row>
    <row r="11" spans="1:14" x14ac:dyDescent="0.55000000000000004">
      <c r="A11" s="7" t="s">
        <v>48</v>
      </c>
      <c r="B11" s="9">
        <v>10.63</v>
      </c>
      <c r="C11" s="5">
        <f t="shared" si="0"/>
        <v>5.4300000000000006</v>
      </c>
      <c r="D11" s="5">
        <f t="shared" si="1"/>
        <v>15.830000000000002</v>
      </c>
      <c r="E11" s="5">
        <v>10.63</v>
      </c>
      <c r="F11">
        <v>10</v>
      </c>
      <c r="G11">
        <v>12</v>
      </c>
      <c r="H11">
        <v>15</v>
      </c>
      <c r="I11" t="s">
        <v>83</v>
      </c>
      <c r="J11" t="s">
        <v>82</v>
      </c>
      <c r="K11" t="s">
        <v>86</v>
      </c>
      <c r="L11" s="5">
        <v>5.2</v>
      </c>
      <c r="N11" s="7"/>
    </row>
    <row r="12" spans="1:14" x14ac:dyDescent="0.55000000000000004">
      <c r="A12" s="7" t="s">
        <v>40</v>
      </c>
      <c r="B12" s="9">
        <v>10.91</v>
      </c>
      <c r="C12" s="5">
        <f t="shared" si="0"/>
        <v>5.71</v>
      </c>
      <c r="D12" s="5">
        <f t="shared" si="1"/>
        <v>16.11</v>
      </c>
      <c r="E12" s="5">
        <v>5.71</v>
      </c>
      <c r="F12">
        <v>11</v>
      </c>
      <c r="G12">
        <v>8</v>
      </c>
      <c r="H12">
        <v>22</v>
      </c>
      <c r="I12" t="s">
        <v>83</v>
      </c>
      <c r="J12" t="s">
        <v>82</v>
      </c>
      <c r="K12" t="s">
        <v>86</v>
      </c>
      <c r="L12" s="5">
        <v>5.2</v>
      </c>
      <c r="N12" s="7"/>
    </row>
    <row r="13" spans="1:14" x14ac:dyDescent="0.55000000000000004">
      <c r="A13" s="7" t="s">
        <v>44</v>
      </c>
      <c r="B13" s="9">
        <v>10.95</v>
      </c>
      <c r="C13" s="5">
        <f t="shared" si="0"/>
        <v>5.7499999999999991</v>
      </c>
      <c r="D13" s="5">
        <f t="shared" si="1"/>
        <v>16.149999999999999</v>
      </c>
      <c r="E13" s="5">
        <v>10.95</v>
      </c>
      <c r="F13">
        <v>12</v>
      </c>
      <c r="G13">
        <v>13</v>
      </c>
      <c r="H13">
        <v>12</v>
      </c>
      <c r="I13" t="s">
        <v>83</v>
      </c>
      <c r="J13" t="s">
        <v>82</v>
      </c>
      <c r="K13" t="s">
        <v>86</v>
      </c>
      <c r="L13" s="5">
        <v>5.2</v>
      </c>
      <c r="N13" s="7"/>
    </row>
    <row r="14" spans="1:14" x14ac:dyDescent="0.55000000000000004">
      <c r="A14" s="7" t="s">
        <v>32</v>
      </c>
      <c r="B14" s="9">
        <v>11.51</v>
      </c>
      <c r="C14" s="5">
        <f t="shared" si="0"/>
        <v>6.31</v>
      </c>
      <c r="D14" s="5">
        <f t="shared" si="1"/>
        <v>16.71</v>
      </c>
      <c r="E14" s="5">
        <v>11.51</v>
      </c>
      <c r="F14">
        <v>13</v>
      </c>
      <c r="G14">
        <v>14</v>
      </c>
      <c r="H14">
        <v>10</v>
      </c>
      <c r="I14" t="s">
        <v>83</v>
      </c>
      <c r="J14" t="s">
        <v>82</v>
      </c>
      <c r="K14" t="s">
        <v>86</v>
      </c>
      <c r="L14" s="5">
        <v>5.2</v>
      </c>
      <c r="N14" s="7"/>
    </row>
    <row r="15" spans="1:14" x14ac:dyDescent="0.55000000000000004">
      <c r="A15" s="7" t="s">
        <v>37</v>
      </c>
      <c r="B15" s="9">
        <v>11.97</v>
      </c>
      <c r="C15" s="5">
        <f t="shared" si="0"/>
        <v>6.7700000000000005</v>
      </c>
      <c r="D15" s="5">
        <f t="shared" si="1"/>
        <v>17.170000000000002</v>
      </c>
      <c r="E15" s="5">
        <v>6.77</v>
      </c>
      <c r="F15">
        <v>14</v>
      </c>
      <c r="G15">
        <v>9</v>
      </c>
      <c r="H15">
        <v>7</v>
      </c>
      <c r="I15" t="s">
        <v>83</v>
      </c>
      <c r="J15" t="s">
        <v>82</v>
      </c>
      <c r="K15" t="s">
        <v>86</v>
      </c>
      <c r="L15" s="5">
        <v>5.2</v>
      </c>
      <c r="N15" s="7"/>
    </row>
    <row r="16" spans="1:14" x14ac:dyDescent="0.55000000000000004">
      <c r="A16" s="7" t="s">
        <v>41</v>
      </c>
      <c r="B16" s="9">
        <v>12.74</v>
      </c>
      <c r="C16" s="5">
        <f t="shared" si="0"/>
        <v>7.54</v>
      </c>
      <c r="D16" s="5">
        <f t="shared" si="1"/>
        <v>17.940000000000001</v>
      </c>
      <c r="E16" s="5">
        <v>12.74</v>
      </c>
      <c r="F16">
        <v>15</v>
      </c>
      <c r="G16">
        <v>15</v>
      </c>
      <c r="H16">
        <v>18</v>
      </c>
      <c r="I16" t="s">
        <v>83</v>
      </c>
      <c r="J16" t="s">
        <v>82</v>
      </c>
      <c r="K16" t="s">
        <v>86</v>
      </c>
      <c r="L16" s="5">
        <v>5.2</v>
      </c>
      <c r="N16" s="7"/>
    </row>
    <row r="17" spans="1:15" x14ac:dyDescent="0.55000000000000004">
      <c r="A17" s="7" t="s">
        <v>31</v>
      </c>
      <c r="B17" s="9">
        <v>12.75</v>
      </c>
      <c r="C17" s="5">
        <f t="shared" si="0"/>
        <v>7.55</v>
      </c>
      <c r="D17" s="5">
        <f t="shared" si="1"/>
        <v>17.95</v>
      </c>
      <c r="E17" s="5">
        <v>7.55</v>
      </c>
      <c r="F17">
        <v>16</v>
      </c>
      <c r="G17">
        <v>10</v>
      </c>
      <c r="H17">
        <v>8</v>
      </c>
      <c r="I17" t="s">
        <v>83</v>
      </c>
      <c r="J17" t="s">
        <v>82</v>
      </c>
      <c r="K17" t="s">
        <v>86</v>
      </c>
      <c r="L17" s="5">
        <v>5.2</v>
      </c>
      <c r="N17" s="7"/>
    </row>
    <row r="18" spans="1:15" x14ac:dyDescent="0.55000000000000004">
      <c r="A18" s="7" t="s">
        <v>30</v>
      </c>
      <c r="B18" s="9">
        <v>12.94</v>
      </c>
      <c r="C18" s="5">
        <f t="shared" si="0"/>
        <v>7.7399999999999993</v>
      </c>
      <c r="D18" s="5">
        <f t="shared" si="1"/>
        <v>18.14</v>
      </c>
      <c r="E18" s="5">
        <v>12.94</v>
      </c>
      <c r="F18">
        <v>17</v>
      </c>
      <c r="G18">
        <v>16</v>
      </c>
      <c r="H18">
        <v>14</v>
      </c>
      <c r="I18" t="s">
        <v>83</v>
      </c>
      <c r="J18" t="s">
        <v>82</v>
      </c>
      <c r="K18" t="s">
        <v>86</v>
      </c>
      <c r="L18" s="5">
        <v>5.2</v>
      </c>
      <c r="N18" s="7"/>
    </row>
    <row r="19" spans="1:15" x14ac:dyDescent="0.55000000000000004">
      <c r="A19" s="7" t="s">
        <v>45</v>
      </c>
      <c r="B19" s="9">
        <v>13.76</v>
      </c>
      <c r="C19" s="5">
        <f t="shared" si="0"/>
        <v>8.5599999999999987</v>
      </c>
      <c r="D19" s="5">
        <f t="shared" si="1"/>
        <v>18.96</v>
      </c>
      <c r="E19" s="5">
        <v>13.76</v>
      </c>
      <c r="F19">
        <v>18</v>
      </c>
      <c r="G19">
        <v>17</v>
      </c>
      <c r="H19">
        <v>16</v>
      </c>
      <c r="I19" t="s">
        <v>83</v>
      </c>
      <c r="J19" t="s">
        <v>82</v>
      </c>
      <c r="K19" t="s">
        <v>86</v>
      </c>
      <c r="L19" s="5">
        <v>5.2</v>
      </c>
      <c r="N19" s="7"/>
    </row>
    <row r="20" spans="1:15" x14ac:dyDescent="0.55000000000000004">
      <c r="A20" s="7" t="s">
        <v>42</v>
      </c>
      <c r="B20" s="9">
        <v>14.13</v>
      </c>
      <c r="C20" s="5">
        <f t="shared" si="0"/>
        <v>8.93</v>
      </c>
      <c r="D20" s="5">
        <f t="shared" si="1"/>
        <v>19.330000000000002</v>
      </c>
      <c r="E20" s="5">
        <v>19.329999999999998</v>
      </c>
      <c r="F20">
        <v>19</v>
      </c>
      <c r="G20">
        <v>23</v>
      </c>
      <c r="H20">
        <v>19</v>
      </c>
      <c r="I20" t="s">
        <v>83</v>
      </c>
      <c r="J20" t="s">
        <v>82</v>
      </c>
      <c r="K20" t="s">
        <v>86</v>
      </c>
      <c r="L20" s="5">
        <v>5.2</v>
      </c>
      <c r="N20" s="7"/>
    </row>
    <row r="21" spans="1:15" x14ac:dyDescent="0.55000000000000004">
      <c r="A21" s="7" t="s">
        <v>29</v>
      </c>
      <c r="B21" s="9">
        <v>14.49</v>
      </c>
      <c r="C21" s="5">
        <f t="shared" si="0"/>
        <v>9.2899999999999991</v>
      </c>
      <c r="D21" s="5">
        <f t="shared" si="1"/>
        <v>19.690000000000001</v>
      </c>
      <c r="E21" s="5">
        <v>14.49</v>
      </c>
      <c r="F21">
        <v>20</v>
      </c>
      <c r="G21">
        <v>18</v>
      </c>
      <c r="H21">
        <v>24</v>
      </c>
      <c r="I21" t="s">
        <v>83</v>
      </c>
      <c r="J21" t="s">
        <v>82</v>
      </c>
      <c r="K21" t="s">
        <v>86</v>
      </c>
      <c r="L21" s="5">
        <v>5.2</v>
      </c>
      <c r="N21" s="7"/>
    </row>
    <row r="22" spans="1:15" x14ac:dyDescent="0.55000000000000004">
      <c r="A22" s="7" t="s">
        <v>49</v>
      </c>
      <c r="B22" s="9">
        <v>14.54</v>
      </c>
      <c r="C22" s="5">
        <f t="shared" si="0"/>
        <v>9.34</v>
      </c>
      <c r="D22" s="5">
        <f t="shared" si="1"/>
        <v>19.739999999999998</v>
      </c>
      <c r="E22" s="5">
        <v>14.54</v>
      </c>
      <c r="F22">
        <v>21</v>
      </c>
      <c r="G22">
        <v>20</v>
      </c>
      <c r="H22">
        <v>9</v>
      </c>
      <c r="I22" t="s">
        <v>83</v>
      </c>
      <c r="J22" t="s">
        <v>82</v>
      </c>
      <c r="K22" t="s">
        <v>86</v>
      </c>
      <c r="L22" s="5">
        <v>5.2</v>
      </c>
      <c r="N22" s="7"/>
    </row>
    <row r="23" spans="1:15" x14ac:dyDescent="0.55000000000000004">
      <c r="A23" s="7" t="s">
        <v>47</v>
      </c>
      <c r="B23" s="9">
        <v>15.99</v>
      </c>
      <c r="C23" s="5">
        <f t="shared" si="0"/>
        <v>10.79</v>
      </c>
      <c r="D23" s="5">
        <f t="shared" si="1"/>
        <v>21.19</v>
      </c>
      <c r="E23" s="5">
        <v>15.99</v>
      </c>
      <c r="F23">
        <v>22</v>
      </c>
      <c r="G23">
        <v>21</v>
      </c>
      <c r="H23">
        <v>20</v>
      </c>
      <c r="I23" t="s">
        <v>83</v>
      </c>
      <c r="J23" t="s">
        <v>82</v>
      </c>
      <c r="K23" t="s">
        <v>86</v>
      </c>
      <c r="L23" s="5">
        <v>5.2</v>
      </c>
      <c r="N23" s="7"/>
    </row>
    <row r="24" spans="1:15" x14ac:dyDescent="0.55000000000000004">
      <c r="A24" s="7" t="s">
        <v>46</v>
      </c>
      <c r="B24" s="9">
        <v>16.36</v>
      </c>
      <c r="C24" s="5">
        <f t="shared" si="0"/>
        <v>11.16</v>
      </c>
      <c r="D24" s="5">
        <f t="shared" si="1"/>
        <v>21.56</v>
      </c>
      <c r="E24" s="5">
        <v>16.36</v>
      </c>
      <c r="F24">
        <v>23</v>
      </c>
      <c r="G24">
        <v>22</v>
      </c>
      <c r="H24">
        <v>25</v>
      </c>
      <c r="I24" t="s">
        <v>83</v>
      </c>
      <c r="J24" t="s">
        <v>82</v>
      </c>
      <c r="K24" t="s">
        <v>86</v>
      </c>
      <c r="L24" s="5">
        <v>5.2</v>
      </c>
      <c r="N24" s="7"/>
    </row>
    <row r="25" spans="1:15" x14ac:dyDescent="0.55000000000000004">
      <c r="A25" s="7" t="s">
        <v>43</v>
      </c>
      <c r="B25" s="9">
        <v>17.11</v>
      </c>
      <c r="C25" s="5">
        <f t="shared" si="0"/>
        <v>11.91</v>
      </c>
      <c r="D25" s="5">
        <f t="shared" si="1"/>
        <v>22.31</v>
      </c>
      <c r="E25" s="5">
        <v>22.31</v>
      </c>
      <c r="F25">
        <v>24</v>
      </c>
      <c r="G25">
        <v>24</v>
      </c>
      <c r="H25">
        <v>21</v>
      </c>
      <c r="I25" t="s">
        <v>83</v>
      </c>
      <c r="J25" t="s">
        <v>82</v>
      </c>
      <c r="K25" t="s">
        <v>86</v>
      </c>
      <c r="L25" s="5">
        <v>5.2</v>
      </c>
      <c r="N25" s="7"/>
    </row>
    <row r="26" spans="1:15" x14ac:dyDescent="0.55000000000000004">
      <c r="A26" s="7" t="s">
        <v>26</v>
      </c>
      <c r="B26" s="9">
        <v>17.440000000000001</v>
      </c>
      <c r="C26" s="5">
        <f t="shared" si="0"/>
        <v>12.240000000000002</v>
      </c>
      <c r="D26" s="5">
        <f t="shared" si="1"/>
        <v>22.64</v>
      </c>
      <c r="E26" s="5">
        <v>22.64</v>
      </c>
      <c r="F26">
        <v>25</v>
      </c>
      <c r="G26">
        <v>25</v>
      </c>
      <c r="H26">
        <v>17</v>
      </c>
      <c r="I26" t="s">
        <v>83</v>
      </c>
      <c r="J26" t="s">
        <v>82</v>
      </c>
      <c r="K26" t="s">
        <v>86</v>
      </c>
      <c r="L26" s="5">
        <v>5.2</v>
      </c>
      <c r="N26" s="7"/>
    </row>
    <row r="27" spans="1:15" x14ac:dyDescent="0.55000000000000004">
      <c r="A27" s="7" t="s">
        <v>39</v>
      </c>
      <c r="B27" s="5">
        <v>8.4700000000000006</v>
      </c>
      <c r="C27" s="5">
        <f t="shared" si="0"/>
        <v>3.1000000000000005</v>
      </c>
      <c r="D27" s="5">
        <f t="shared" si="1"/>
        <v>13.84</v>
      </c>
      <c r="E27" s="5">
        <v>8.4700000000000006</v>
      </c>
      <c r="F27">
        <v>1</v>
      </c>
      <c r="G27" s="8">
        <v>10</v>
      </c>
      <c r="H27" s="8">
        <v>24</v>
      </c>
      <c r="I27" t="s">
        <v>84</v>
      </c>
      <c r="J27" t="s">
        <v>85</v>
      </c>
      <c r="K27" t="s">
        <v>86</v>
      </c>
      <c r="L27" s="5">
        <v>5.37</v>
      </c>
      <c r="N27" s="7"/>
      <c r="O27" s="5"/>
    </row>
    <row r="28" spans="1:15" x14ac:dyDescent="0.55000000000000004">
      <c r="A28" s="7" t="s">
        <v>36</v>
      </c>
      <c r="B28" s="5">
        <v>8.59</v>
      </c>
      <c r="C28" s="5">
        <f t="shared" si="0"/>
        <v>3.2199999999999998</v>
      </c>
      <c r="D28" s="5">
        <f t="shared" si="1"/>
        <v>13.96</v>
      </c>
      <c r="E28" s="5">
        <v>3.22</v>
      </c>
      <c r="F28">
        <v>2</v>
      </c>
      <c r="G28" s="8">
        <v>1</v>
      </c>
      <c r="H28" s="8">
        <v>8</v>
      </c>
      <c r="I28" t="s">
        <v>84</v>
      </c>
      <c r="J28" t="s">
        <v>85</v>
      </c>
      <c r="K28" t="s">
        <v>86</v>
      </c>
      <c r="L28" s="5">
        <v>5.37</v>
      </c>
      <c r="M28" s="5"/>
      <c r="N28" s="7"/>
      <c r="O28" s="5"/>
    </row>
    <row r="29" spans="1:15" x14ac:dyDescent="0.55000000000000004">
      <c r="A29" s="7" t="s">
        <v>38</v>
      </c>
      <c r="B29" s="5">
        <v>9.01</v>
      </c>
      <c r="C29" s="5">
        <f t="shared" si="0"/>
        <v>3.6399999999999997</v>
      </c>
      <c r="D29" s="5">
        <f t="shared" si="1"/>
        <v>14.379999999999999</v>
      </c>
      <c r="E29" s="5">
        <v>3.64</v>
      </c>
      <c r="F29">
        <v>3</v>
      </c>
      <c r="G29" s="8">
        <v>2</v>
      </c>
      <c r="H29" s="8">
        <v>4</v>
      </c>
      <c r="I29" t="s">
        <v>84</v>
      </c>
      <c r="J29" t="s">
        <v>85</v>
      </c>
      <c r="K29" t="s">
        <v>86</v>
      </c>
      <c r="L29" s="5">
        <v>5.37</v>
      </c>
      <c r="N29" s="7"/>
      <c r="O29" s="5"/>
    </row>
    <row r="30" spans="1:15" x14ac:dyDescent="0.55000000000000004">
      <c r="A30" s="7" t="s">
        <v>37</v>
      </c>
      <c r="B30" s="9">
        <v>9.36</v>
      </c>
      <c r="C30" s="5">
        <f t="shared" si="0"/>
        <v>3.9899999999999993</v>
      </c>
      <c r="D30" s="5">
        <f t="shared" si="1"/>
        <v>14.73</v>
      </c>
      <c r="E30" s="5">
        <v>3.99</v>
      </c>
      <c r="F30">
        <v>4</v>
      </c>
      <c r="G30" s="8">
        <v>3</v>
      </c>
      <c r="H30" s="8">
        <v>1</v>
      </c>
      <c r="I30" t="s">
        <v>84</v>
      </c>
      <c r="J30" t="s">
        <v>85</v>
      </c>
      <c r="K30" t="s">
        <v>86</v>
      </c>
      <c r="L30" s="5">
        <v>5.37</v>
      </c>
      <c r="N30" s="7"/>
      <c r="O30" s="5"/>
    </row>
    <row r="31" spans="1:15" x14ac:dyDescent="0.55000000000000004">
      <c r="A31" s="7" t="s">
        <v>41</v>
      </c>
      <c r="B31" s="9">
        <v>9.6999999999999993</v>
      </c>
      <c r="C31" s="5">
        <f t="shared" si="0"/>
        <v>4.3299999999999992</v>
      </c>
      <c r="D31" s="5">
        <f t="shared" si="1"/>
        <v>15.07</v>
      </c>
      <c r="E31" s="5">
        <v>4.33</v>
      </c>
      <c r="F31">
        <v>5</v>
      </c>
      <c r="G31" s="8">
        <v>4</v>
      </c>
      <c r="H31" s="8">
        <v>9</v>
      </c>
      <c r="I31" t="s">
        <v>84</v>
      </c>
      <c r="J31" t="s">
        <v>85</v>
      </c>
      <c r="K31" t="s">
        <v>86</v>
      </c>
      <c r="L31" s="5">
        <v>5.37</v>
      </c>
      <c r="N31" s="7"/>
      <c r="O31" s="5"/>
    </row>
    <row r="32" spans="1:15" x14ac:dyDescent="0.55000000000000004">
      <c r="A32" s="7" t="s">
        <v>27</v>
      </c>
      <c r="B32" s="5">
        <v>9.92</v>
      </c>
      <c r="C32" s="5">
        <f t="shared" si="0"/>
        <v>4.55</v>
      </c>
      <c r="D32" s="5">
        <f t="shared" si="1"/>
        <v>15.29</v>
      </c>
      <c r="E32" s="5">
        <v>4.55</v>
      </c>
      <c r="F32">
        <v>6</v>
      </c>
      <c r="G32" s="8">
        <v>5</v>
      </c>
      <c r="H32" s="8">
        <v>7</v>
      </c>
      <c r="I32" t="s">
        <v>84</v>
      </c>
      <c r="J32" t="s">
        <v>85</v>
      </c>
      <c r="K32" t="s">
        <v>86</v>
      </c>
      <c r="L32" s="5">
        <v>5.37</v>
      </c>
      <c r="N32" s="7"/>
      <c r="O32" s="5"/>
    </row>
    <row r="33" spans="1:15" x14ac:dyDescent="0.55000000000000004">
      <c r="A33" s="7" t="s">
        <v>46</v>
      </c>
      <c r="B33" s="5">
        <v>10.199999999999999</v>
      </c>
      <c r="C33" s="5">
        <f t="shared" si="0"/>
        <v>4.8299999999999992</v>
      </c>
      <c r="D33" s="5">
        <f t="shared" si="1"/>
        <v>15.57</v>
      </c>
      <c r="E33" s="5">
        <v>15.57</v>
      </c>
      <c r="F33">
        <v>7</v>
      </c>
      <c r="G33" s="8">
        <v>18</v>
      </c>
      <c r="H33" s="8">
        <v>18</v>
      </c>
      <c r="I33" t="s">
        <v>84</v>
      </c>
      <c r="J33" t="s">
        <v>85</v>
      </c>
      <c r="K33" t="s">
        <v>86</v>
      </c>
      <c r="L33" s="5">
        <v>5.37</v>
      </c>
      <c r="N33" s="7"/>
      <c r="O33" s="5"/>
    </row>
    <row r="34" spans="1:15" x14ac:dyDescent="0.55000000000000004">
      <c r="A34" s="7" t="s">
        <v>33</v>
      </c>
      <c r="B34" s="5">
        <v>10.42</v>
      </c>
      <c r="C34" s="5">
        <f t="shared" ref="C34:C65" si="2">B34-L34</f>
        <v>5.05</v>
      </c>
      <c r="D34" s="5">
        <f t="shared" ref="D34:D65" si="3">B34+L34</f>
        <v>15.79</v>
      </c>
      <c r="E34" s="5">
        <v>5.05</v>
      </c>
      <c r="F34">
        <v>8</v>
      </c>
      <c r="G34" s="8">
        <v>6</v>
      </c>
      <c r="H34" s="8">
        <v>2</v>
      </c>
      <c r="I34" t="s">
        <v>84</v>
      </c>
      <c r="J34" t="s">
        <v>85</v>
      </c>
      <c r="K34" t="s">
        <v>86</v>
      </c>
      <c r="L34" s="5">
        <v>5.37</v>
      </c>
      <c r="N34" s="7"/>
      <c r="O34" s="5"/>
    </row>
    <row r="35" spans="1:15" x14ac:dyDescent="0.55000000000000004">
      <c r="A35" s="7" t="s">
        <v>35</v>
      </c>
      <c r="B35" s="9">
        <v>10.57</v>
      </c>
      <c r="C35" s="5">
        <f t="shared" si="2"/>
        <v>5.2</v>
      </c>
      <c r="D35" s="5">
        <f t="shared" si="3"/>
        <v>15.940000000000001</v>
      </c>
      <c r="E35" s="5">
        <v>5.2</v>
      </c>
      <c r="F35">
        <v>9</v>
      </c>
      <c r="G35" s="8">
        <v>7</v>
      </c>
      <c r="H35" s="8">
        <v>3</v>
      </c>
      <c r="I35" t="s">
        <v>84</v>
      </c>
      <c r="J35" t="s">
        <v>85</v>
      </c>
      <c r="K35" t="s">
        <v>86</v>
      </c>
      <c r="L35" s="5">
        <v>5.37</v>
      </c>
      <c r="N35" s="7"/>
      <c r="O35" s="5"/>
    </row>
    <row r="36" spans="1:15" x14ac:dyDescent="0.55000000000000004">
      <c r="A36" s="7" t="s">
        <v>45</v>
      </c>
      <c r="B36" s="5">
        <v>10.92</v>
      </c>
      <c r="C36" s="5">
        <f t="shared" si="2"/>
        <v>5.55</v>
      </c>
      <c r="D36" s="5">
        <f t="shared" si="3"/>
        <v>16.29</v>
      </c>
      <c r="E36" s="5">
        <v>5.55</v>
      </c>
      <c r="F36">
        <v>10</v>
      </c>
      <c r="G36" s="8">
        <v>8</v>
      </c>
      <c r="H36" s="8">
        <v>6</v>
      </c>
      <c r="I36" t="s">
        <v>84</v>
      </c>
      <c r="J36" t="s">
        <v>85</v>
      </c>
      <c r="K36" t="s">
        <v>86</v>
      </c>
      <c r="L36" s="5">
        <v>5.37</v>
      </c>
      <c r="N36" s="7"/>
      <c r="O36" s="5"/>
    </row>
    <row r="37" spans="1:15" x14ac:dyDescent="0.55000000000000004">
      <c r="A37" s="7" t="s">
        <v>28</v>
      </c>
      <c r="B37" s="5">
        <v>11.64</v>
      </c>
      <c r="C37" s="5">
        <f t="shared" si="2"/>
        <v>6.2700000000000005</v>
      </c>
      <c r="D37" s="5">
        <f t="shared" si="3"/>
        <v>17.010000000000002</v>
      </c>
      <c r="E37" s="5">
        <v>17.010000000000002</v>
      </c>
      <c r="F37">
        <v>11</v>
      </c>
      <c r="G37" s="8">
        <v>19</v>
      </c>
      <c r="H37" s="8">
        <v>17</v>
      </c>
      <c r="I37" t="s">
        <v>84</v>
      </c>
      <c r="J37" t="s">
        <v>85</v>
      </c>
      <c r="K37" t="s">
        <v>86</v>
      </c>
      <c r="L37" s="5">
        <v>5.37</v>
      </c>
      <c r="N37" s="7"/>
      <c r="O37" s="5"/>
    </row>
    <row r="38" spans="1:15" x14ac:dyDescent="0.55000000000000004">
      <c r="A38" s="7" t="s">
        <v>40</v>
      </c>
      <c r="B38" s="5">
        <v>11.74</v>
      </c>
      <c r="C38" s="5">
        <f t="shared" si="2"/>
        <v>6.37</v>
      </c>
      <c r="D38" s="5">
        <f t="shared" si="3"/>
        <v>17.11</v>
      </c>
      <c r="E38" s="5">
        <v>11.74</v>
      </c>
      <c r="F38">
        <v>12</v>
      </c>
      <c r="G38" s="8">
        <v>12</v>
      </c>
      <c r="H38" s="8">
        <v>16</v>
      </c>
      <c r="I38" t="s">
        <v>84</v>
      </c>
      <c r="J38" t="s">
        <v>85</v>
      </c>
      <c r="K38" t="s">
        <v>86</v>
      </c>
      <c r="L38" s="5">
        <v>5.37</v>
      </c>
      <c r="N38" s="7"/>
      <c r="O38" s="5"/>
    </row>
    <row r="39" spans="1:15" x14ac:dyDescent="0.55000000000000004">
      <c r="A39" s="7" t="s">
        <v>49</v>
      </c>
      <c r="B39" s="5">
        <v>11.91</v>
      </c>
      <c r="C39" s="5">
        <f t="shared" si="2"/>
        <v>6.54</v>
      </c>
      <c r="D39" s="5">
        <f t="shared" si="3"/>
        <v>17.28</v>
      </c>
      <c r="E39" s="5">
        <v>11.91</v>
      </c>
      <c r="F39">
        <v>13</v>
      </c>
      <c r="G39" s="8">
        <v>13</v>
      </c>
      <c r="H39" s="8">
        <v>22</v>
      </c>
      <c r="I39" t="s">
        <v>84</v>
      </c>
      <c r="J39" t="s">
        <v>85</v>
      </c>
      <c r="K39" t="s">
        <v>86</v>
      </c>
      <c r="L39" s="5">
        <v>5.37</v>
      </c>
      <c r="N39" s="7"/>
      <c r="O39" s="5"/>
    </row>
    <row r="40" spans="1:15" x14ac:dyDescent="0.55000000000000004">
      <c r="A40" s="7" t="s">
        <v>34</v>
      </c>
      <c r="B40" s="5">
        <v>12.23</v>
      </c>
      <c r="C40" s="5">
        <f t="shared" si="2"/>
        <v>6.86</v>
      </c>
      <c r="D40" s="5">
        <f t="shared" si="3"/>
        <v>17.600000000000001</v>
      </c>
      <c r="E40" s="5">
        <v>17.600000000000001</v>
      </c>
      <c r="F40">
        <v>14</v>
      </c>
      <c r="G40" s="8">
        <v>20</v>
      </c>
      <c r="H40" s="8">
        <v>13</v>
      </c>
      <c r="I40" t="s">
        <v>84</v>
      </c>
      <c r="J40" t="s">
        <v>85</v>
      </c>
      <c r="K40" t="s">
        <v>86</v>
      </c>
      <c r="L40" s="5">
        <v>5.37</v>
      </c>
      <c r="N40" s="7"/>
      <c r="O40" s="5"/>
    </row>
    <row r="41" spans="1:15" x14ac:dyDescent="0.55000000000000004">
      <c r="A41" s="7" t="s">
        <v>25</v>
      </c>
      <c r="B41" s="5">
        <v>12.83</v>
      </c>
      <c r="C41" s="5">
        <f t="shared" si="2"/>
        <v>7.46</v>
      </c>
      <c r="D41" s="5">
        <f t="shared" si="3"/>
        <v>18.2</v>
      </c>
      <c r="E41" s="5">
        <v>7.46</v>
      </c>
      <c r="F41">
        <v>15</v>
      </c>
      <c r="G41" s="8">
        <v>9</v>
      </c>
      <c r="H41" s="8">
        <v>5</v>
      </c>
      <c r="I41" t="s">
        <v>84</v>
      </c>
      <c r="J41" t="s">
        <v>85</v>
      </c>
      <c r="K41" t="s">
        <v>86</v>
      </c>
      <c r="L41" s="5">
        <v>5.37</v>
      </c>
      <c r="N41" s="7"/>
      <c r="O41" s="5"/>
    </row>
    <row r="42" spans="1:15" x14ac:dyDescent="0.55000000000000004">
      <c r="A42" s="7" t="s">
        <v>47</v>
      </c>
      <c r="B42" s="5">
        <v>13.29</v>
      </c>
      <c r="C42" s="5">
        <f t="shared" si="2"/>
        <v>7.919999999999999</v>
      </c>
      <c r="D42" s="5">
        <f t="shared" si="3"/>
        <v>18.66</v>
      </c>
      <c r="E42" s="5">
        <v>18.66</v>
      </c>
      <c r="F42">
        <v>16</v>
      </c>
      <c r="G42" s="8">
        <v>21</v>
      </c>
      <c r="H42" s="8">
        <v>20</v>
      </c>
      <c r="I42" t="s">
        <v>84</v>
      </c>
      <c r="J42" t="s">
        <v>85</v>
      </c>
      <c r="K42" t="s">
        <v>86</v>
      </c>
      <c r="L42" s="5">
        <v>5.37</v>
      </c>
      <c r="N42" s="7"/>
      <c r="O42" s="5"/>
    </row>
    <row r="43" spans="1:15" x14ac:dyDescent="0.55000000000000004">
      <c r="A43" s="7" t="s">
        <v>44</v>
      </c>
      <c r="B43" s="5">
        <v>13.91</v>
      </c>
      <c r="C43" s="5">
        <f t="shared" si="2"/>
        <v>8.5399999999999991</v>
      </c>
      <c r="D43" s="5">
        <f t="shared" si="3"/>
        <v>19.28</v>
      </c>
      <c r="E43" s="5">
        <v>13.91</v>
      </c>
      <c r="F43">
        <v>17</v>
      </c>
      <c r="G43" s="8">
        <v>14</v>
      </c>
      <c r="H43" s="8">
        <v>12</v>
      </c>
      <c r="I43" t="s">
        <v>84</v>
      </c>
      <c r="J43" t="s">
        <v>85</v>
      </c>
      <c r="K43" t="s">
        <v>86</v>
      </c>
      <c r="L43" s="5">
        <v>5.37</v>
      </c>
      <c r="N43" s="7"/>
      <c r="O43" s="5"/>
    </row>
    <row r="44" spans="1:15" x14ac:dyDescent="0.55000000000000004">
      <c r="A44" s="7" t="s">
        <v>29</v>
      </c>
      <c r="B44" s="5">
        <v>14.26</v>
      </c>
      <c r="C44" s="5">
        <f t="shared" si="2"/>
        <v>8.89</v>
      </c>
      <c r="D44" s="5">
        <f t="shared" si="3"/>
        <v>19.63</v>
      </c>
      <c r="E44" s="5">
        <v>14.26</v>
      </c>
      <c r="F44">
        <v>18</v>
      </c>
      <c r="G44" s="8">
        <v>15</v>
      </c>
      <c r="H44" s="8">
        <v>11</v>
      </c>
      <c r="I44" t="s">
        <v>84</v>
      </c>
      <c r="J44" t="s">
        <v>85</v>
      </c>
      <c r="K44" t="s">
        <v>86</v>
      </c>
      <c r="L44" s="5">
        <v>5.37</v>
      </c>
      <c r="N44" s="7"/>
      <c r="O44" s="5"/>
    </row>
    <row r="45" spans="1:15" x14ac:dyDescent="0.55000000000000004">
      <c r="A45" s="7" t="s">
        <v>32</v>
      </c>
      <c r="B45" s="5">
        <v>14.5</v>
      </c>
      <c r="C45" s="5">
        <f t="shared" si="2"/>
        <v>9.129999999999999</v>
      </c>
      <c r="D45" s="5">
        <f t="shared" si="3"/>
        <v>19.87</v>
      </c>
      <c r="E45" s="5">
        <v>19.87</v>
      </c>
      <c r="F45">
        <v>19</v>
      </c>
      <c r="G45" s="8">
        <v>22</v>
      </c>
      <c r="H45" s="8">
        <v>15</v>
      </c>
      <c r="I45" t="s">
        <v>84</v>
      </c>
      <c r="J45" t="s">
        <v>85</v>
      </c>
      <c r="K45" t="s">
        <v>86</v>
      </c>
      <c r="L45" s="5">
        <v>5.37</v>
      </c>
      <c r="N45" s="7"/>
      <c r="O45" s="5"/>
    </row>
    <row r="46" spans="1:15" x14ac:dyDescent="0.55000000000000004">
      <c r="A46" s="7" t="s">
        <v>26</v>
      </c>
      <c r="B46" s="5">
        <v>14.76</v>
      </c>
      <c r="C46" s="5">
        <f t="shared" si="2"/>
        <v>9.39</v>
      </c>
      <c r="D46" s="5">
        <f t="shared" si="3"/>
        <v>20.13</v>
      </c>
      <c r="E46" s="5">
        <v>20.13</v>
      </c>
      <c r="F46">
        <v>20</v>
      </c>
      <c r="G46" s="8">
        <v>13</v>
      </c>
      <c r="H46" s="8">
        <v>19</v>
      </c>
      <c r="I46" t="s">
        <v>84</v>
      </c>
      <c r="J46" t="s">
        <v>85</v>
      </c>
      <c r="K46" t="s">
        <v>86</v>
      </c>
      <c r="L46" s="5">
        <v>5.37</v>
      </c>
      <c r="N46" s="7"/>
      <c r="O46" s="5"/>
    </row>
    <row r="47" spans="1:15" x14ac:dyDescent="0.55000000000000004">
      <c r="A47" s="7" t="s">
        <v>31</v>
      </c>
      <c r="B47" s="5">
        <v>14.91</v>
      </c>
      <c r="C47" s="5">
        <f t="shared" si="2"/>
        <v>9.5399999999999991</v>
      </c>
      <c r="D47" s="5">
        <f t="shared" si="3"/>
        <v>20.28</v>
      </c>
      <c r="E47" s="5">
        <v>14.91</v>
      </c>
      <c r="F47">
        <v>21</v>
      </c>
      <c r="G47" s="8">
        <v>16</v>
      </c>
      <c r="H47" s="8">
        <v>25</v>
      </c>
      <c r="I47" t="s">
        <v>84</v>
      </c>
      <c r="J47" t="s">
        <v>85</v>
      </c>
      <c r="K47" t="s">
        <v>86</v>
      </c>
      <c r="L47" s="5">
        <v>5.37</v>
      </c>
      <c r="N47" s="7"/>
      <c r="O47" s="5"/>
    </row>
    <row r="48" spans="1:15" x14ac:dyDescent="0.55000000000000004">
      <c r="A48" s="7" t="s">
        <v>43</v>
      </c>
      <c r="B48" s="5">
        <v>14.93</v>
      </c>
      <c r="C48" s="5">
        <f t="shared" si="2"/>
        <v>9.5599999999999987</v>
      </c>
      <c r="D48" s="5">
        <f t="shared" si="3"/>
        <v>20.3</v>
      </c>
      <c r="E48" s="5">
        <v>20.3</v>
      </c>
      <c r="F48">
        <v>22</v>
      </c>
      <c r="G48" s="8">
        <v>24</v>
      </c>
      <c r="H48" s="8">
        <v>21</v>
      </c>
      <c r="I48" t="s">
        <v>84</v>
      </c>
      <c r="J48" t="s">
        <v>85</v>
      </c>
      <c r="K48" t="s">
        <v>86</v>
      </c>
      <c r="L48" s="5">
        <v>5.37</v>
      </c>
      <c r="N48" s="7"/>
      <c r="O48" s="5"/>
    </row>
    <row r="49" spans="1:15" x14ac:dyDescent="0.55000000000000004">
      <c r="A49" s="7" t="s">
        <v>30</v>
      </c>
      <c r="B49" s="5">
        <v>14.99</v>
      </c>
      <c r="C49" s="5">
        <f t="shared" si="2"/>
        <v>9.620000000000001</v>
      </c>
      <c r="D49" s="5">
        <f t="shared" si="3"/>
        <v>20.36</v>
      </c>
      <c r="E49" s="5">
        <v>14.99</v>
      </c>
      <c r="F49">
        <v>23</v>
      </c>
      <c r="G49" s="8">
        <v>17</v>
      </c>
      <c r="H49" s="8">
        <v>23</v>
      </c>
      <c r="I49" t="s">
        <v>84</v>
      </c>
      <c r="J49" t="s">
        <v>85</v>
      </c>
      <c r="K49" t="s">
        <v>86</v>
      </c>
      <c r="L49" s="5">
        <v>5.37</v>
      </c>
      <c r="N49" s="7"/>
      <c r="O49" s="5"/>
    </row>
    <row r="50" spans="1:15" x14ac:dyDescent="0.55000000000000004">
      <c r="A50" s="7" t="s">
        <v>48</v>
      </c>
      <c r="B50" s="5">
        <v>15.02</v>
      </c>
      <c r="C50" s="5">
        <f t="shared" si="2"/>
        <v>9.6499999999999986</v>
      </c>
      <c r="D50" s="5">
        <f t="shared" si="3"/>
        <v>20.39</v>
      </c>
      <c r="E50" s="5">
        <v>20.39</v>
      </c>
      <c r="F50">
        <v>24</v>
      </c>
      <c r="G50" s="8">
        <v>25</v>
      </c>
      <c r="H50" s="8">
        <v>10</v>
      </c>
      <c r="I50" t="s">
        <v>84</v>
      </c>
      <c r="J50" t="s">
        <v>85</v>
      </c>
      <c r="K50" t="s">
        <v>86</v>
      </c>
      <c r="L50" s="5">
        <v>5.37</v>
      </c>
      <c r="N50" s="7"/>
      <c r="O50" s="5"/>
    </row>
    <row r="51" spans="1:15" x14ac:dyDescent="0.55000000000000004">
      <c r="A51" s="7" t="s">
        <v>42</v>
      </c>
      <c r="B51" s="5">
        <v>15.76</v>
      </c>
      <c r="C51" s="5">
        <f t="shared" si="2"/>
        <v>10.39</v>
      </c>
      <c r="D51" s="5">
        <f t="shared" si="3"/>
        <v>21.13</v>
      </c>
      <c r="E51" s="5">
        <v>10.39</v>
      </c>
      <c r="F51">
        <v>25</v>
      </c>
      <c r="G51" s="8">
        <v>11</v>
      </c>
      <c r="H51" s="8">
        <v>14</v>
      </c>
      <c r="I51" t="s">
        <v>84</v>
      </c>
      <c r="J51" t="s">
        <v>85</v>
      </c>
      <c r="K51" t="s">
        <v>86</v>
      </c>
      <c r="L51" s="5">
        <v>5.37</v>
      </c>
      <c r="N51" s="7"/>
      <c r="O51" s="5"/>
    </row>
    <row r="52" spans="1:15" x14ac:dyDescent="0.55000000000000004">
      <c r="A52" t="s">
        <v>38</v>
      </c>
      <c r="B52">
        <v>7.18</v>
      </c>
      <c r="C52" s="5">
        <f t="shared" si="2"/>
        <v>1.8199999999999994</v>
      </c>
      <c r="D52" s="5">
        <f t="shared" si="3"/>
        <v>12.54</v>
      </c>
      <c r="E52" s="5">
        <v>1.82</v>
      </c>
      <c r="F52">
        <v>1</v>
      </c>
      <c r="G52" s="8">
        <v>1</v>
      </c>
      <c r="H52" s="8">
        <v>5</v>
      </c>
      <c r="I52" t="s">
        <v>81</v>
      </c>
      <c r="J52" t="s">
        <v>82</v>
      </c>
      <c r="K52" t="s">
        <v>86</v>
      </c>
      <c r="L52" s="5">
        <v>5.36</v>
      </c>
      <c r="N52" s="7"/>
      <c r="O52" s="5"/>
    </row>
    <row r="53" spans="1:15" x14ac:dyDescent="0.55000000000000004">
      <c r="A53" t="s">
        <v>28</v>
      </c>
      <c r="B53">
        <v>8.57</v>
      </c>
      <c r="C53" s="5">
        <f t="shared" si="2"/>
        <v>3.21</v>
      </c>
      <c r="D53" s="5">
        <f t="shared" si="3"/>
        <v>13.93</v>
      </c>
      <c r="E53" s="5">
        <v>8.57</v>
      </c>
      <c r="F53">
        <v>2</v>
      </c>
      <c r="G53" s="8">
        <v>11</v>
      </c>
      <c r="H53" s="8">
        <v>4</v>
      </c>
      <c r="I53" t="s">
        <v>81</v>
      </c>
      <c r="J53" t="s">
        <v>82</v>
      </c>
      <c r="K53" t="s">
        <v>86</v>
      </c>
      <c r="L53" s="5">
        <v>5.36</v>
      </c>
    </row>
    <row r="54" spans="1:15" x14ac:dyDescent="0.55000000000000004">
      <c r="A54" t="s">
        <v>39</v>
      </c>
      <c r="B54">
        <v>8.65</v>
      </c>
      <c r="C54" s="5">
        <f t="shared" si="2"/>
        <v>3.29</v>
      </c>
      <c r="D54" s="5">
        <f t="shared" si="3"/>
        <v>14.010000000000002</v>
      </c>
      <c r="E54" s="5">
        <v>3.29</v>
      </c>
      <c r="F54">
        <v>3</v>
      </c>
      <c r="G54" s="8">
        <v>2</v>
      </c>
      <c r="H54" s="8">
        <v>2</v>
      </c>
      <c r="I54" t="s">
        <v>81</v>
      </c>
      <c r="J54" t="s">
        <v>82</v>
      </c>
      <c r="K54" t="s">
        <v>86</v>
      </c>
      <c r="L54" s="5">
        <v>5.36</v>
      </c>
    </row>
    <row r="55" spans="1:15" x14ac:dyDescent="0.55000000000000004">
      <c r="A55" t="s">
        <v>44</v>
      </c>
      <c r="B55">
        <v>9.17</v>
      </c>
      <c r="C55" s="5">
        <f t="shared" si="2"/>
        <v>3.8099999999999996</v>
      </c>
      <c r="D55" s="5">
        <f t="shared" si="3"/>
        <v>14.530000000000001</v>
      </c>
      <c r="E55" s="5">
        <v>3.81</v>
      </c>
      <c r="F55">
        <v>4</v>
      </c>
      <c r="G55" s="8">
        <v>3</v>
      </c>
      <c r="H55" s="8"/>
      <c r="I55" t="s">
        <v>81</v>
      </c>
      <c r="J55" t="s">
        <v>82</v>
      </c>
      <c r="K55" t="s">
        <v>86</v>
      </c>
      <c r="L55" s="5">
        <v>5.36</v>
      </c>
    </row>
    <row r="56" spans="1:15" x14ac:dyDescent="0.55000000000000004">
      <c r="A56" t="s">
        <v>40</v>
      </c>
      <c r="B56">
        <v>9.18</v>
      </c>
      <c r="C56" s="5">
        <f t="shared" si="2"/>
        <v>3.8199999999999994</v>
      </c>
      <c r="D56" s="5">
        <f t="shared" si="3"/>
        <v>14.54</v>
      </c>
      <c r="E56" s="5">
        <v>3.82</v>
      </c>
      <c r="F56">
        <v>5</v>
      </c>
      <c r="G56" s="8">
        <v>4</v>
      </c>
      <c r="H56" s="8">
        <v>3</v>
      </c>
      <c r="I56" t="s">
        <v>81</v>
      </c>
      <c r="J56" t="s">
        <v>82</v>
      </c>
      <c r="K56" t="s">
        <v>86</v>
      </c>
      <c r="L56" s="5">
        <v>5.36</v>
      </c>
    </row>
    <row r="57" spans="1:15" x14ac:dyDescent="0.55000000000000004">
      <c r="A57" t="s">
        <v>33</v>
      </c>
      <c r="B57">
        <v>9.31</v>
      </c>
      <c r="C57" s="5">
        <f t="shared" si="2"/>
        <v>3.95</v>
      </c>
      <c r="D57" s="5">
        <f t="shared" si="3"/>
        <v>14.670000000000002</v>
      </c>
      <c r="E57" s="5">
        <v>3.95</v>
      </c>
      <c r="F57">
        <v>6</v>
      </c>
      <c r="G57" s="8">
        <v>5</v>
      </c>
      <c r="H57" s="8">
        <v>1</v>
      </c>
      <c r="I57" t="s">
        <v>81</v>
      </c>
      <c r="J57" t="s">
        <v>82</v>
      </c>
      <c r="K57" t="s">
        <v>86</v>
      </c>
      <c r="L57" s="5">
        <v>5.36</v>
      </c>
    </row>
    <row r="58" spans="1:15" x14ac:dyDescent="0.55000000000000004">
      <c r="A58" t="s">
        <v>37</v>
      </c>
      <c r="B58">
        <v>9.5500000000000007</v>
      </c>
      <c r="C58" s="5">
        <f t="shared" si="2"/>
        <v>4.1900000000000004</v>
      </c>
      <c r="D58" s="5">
        <f t="shared" si="3"/>
        <v>14.91</v>
      </c>
      <c r="E58" s="5">
        <v>4.1900000000000004</v>
      </c>
      <c r="F58">
        <v>7</v>
      </c>
      <c r="G58" s="8">
        <v>6</v>
      </c>
      <c r="H58" s="8">
        <v>15</v>
      </c>
      <c r="I58" t="s">
        <v>81</v>
      </c>
      <c r="J58" t="s">
        <v>82</v>
      </c>
      <c r="K58" t="s">
        <v>86</v>
      </c>
      <c r="L58" s="5">
        <v>5.36</v>
      </c>
    </row>
    <row r="59" spans="1:15" x14ac:dyDescent="0.55000000000000004">
      <c r="A59" t="s">
        <v>27</v>
      </c>
      <c r="B59">
        <v>9.65</v>
      </c>
      <c r="C59" s="5">
        <f t="shared" si="2"/>
        <v>4.29</v>
      </c>
      <c r="D59" s="5">
        <f t="shared" si="3"/>
        <v>15.010000000000002</v>
      </c>
      <c r="E59" s="5">
        <v>4.29</v>
      </c>
      <c r="F59">
        <v>8</v>
      </c>
      <c r="G59" s="8">
        <v>7</v>
      </c>
      <c r="H59" s="8">
        <v>8</v>
      </c>
      <c r="I59" t="s">
        <v>81</v>
      </c>
      <c r="J59" t="s">
        <v>82</v>
      </c>
      <c r="K59" t="s">
        <v>86</v>
      </c>
      <c r="L59" s="5">
        <v>5.36</v>
      </c>
    </row>
    <row r="60" spans="1:15" x14ac:dyDescent="0.55000000000000004">
      <c r="A60" t="s">
        <v>25</v>
      </c>
      <c r="B60">
        <v>10.06</v>
      </c>
      <c r="C60" s="5">
        <f t="shared" si="2"/>
        <v>4.7</v>
      </c>
      <c r="D60" s="5">
        <f t="shared" si="3"/>
        <v>15.420000000000002</v>
      </c>
      <c r="E60" s="5">
        <v>10.06</v>
      </c>
      <c r="F60">
        <v>9</v>
      </c>
      <c r="G60" s="8">
        <v>12</v>
      </c>
      <c r="H60" s="8">
        <v>10</v>
      </c>
      <c r="I60" t="s">
        <v>81</v>
      </c>
      <c r="J60" t="s">
        <v>82</v>
      </c>
      <c r="K60" t="s">
        <v>86</v>
      </c>
      <c r="L60" s="5">
        <v>5.36</v>
      </c>
    </row>
    <row r="61" spans="1:15" x14ac:dyDescent="0.55000000000000004">
      <c r="A61" t="s">
        <v>35</v>
      </c>
      <c r="B61">
        <v>10.72</v>
      </c>
      <c r="C61" s="5">
        <f t="shared" si="2"/>
        <v>5.36</v>
      </c>
      <c r="D61" s="5">
        <f t="shared" si="3"/>
        <v>16.080000000000002</v>
      </c>
      <c r="E61" s="5">
        <v>5.36</v>
      </c>
      <c r="F61">
        <v>10</v>
      </c>
      <c r="G61" s="8">
        <v>8</v>
      </c>
      <c r="H61" s="8">
        <v>6</v>
      </c>
      <c r="I61" t="s">
        <v>81</v>
      </c>
      <c r="J61" t="s">
        <v>82</v>
      </c>
      <c r="K61" t="s">
        <v>86</v>
      </c>
      <c r="L61" s="5">
        <v>5.36</v>
      </c>
    </row>
    <row r="62" spans="1:15" x14ac:dyDescent="0.55000000000000004">
      <c r="A62" t="s">
        <v>34</v>
      </c>
      <c r="B62">
        <v>10.73</v>
      </c>
      <c r="C62" s="5">
        <f t="shared" si="2"/>
        <v>5.37</v>
      </c>
      <c r="D62" s="5">
        <f t="shared" si="3"/>
        <v>16.09</v>
      </c>
      <c r="E62" s="5">
        <v>5.37</v>
      </c>
      <c r="F62">
        <v>11</v>
      </c>
      <c r="G62" s="8">
        <v>9</v>
      </c>
      <c r="H62" s="8">
        <v>7</v>
      </c>
      <c r="I62" t="s">
        <v>81</v>
      </c>
      <c r="J62" t="s">
        <v>82</v>
      </c>
      <c r="K62" t="s">
        <v>86</v>
      </c>
      <c r="L62" s="5">
        <v>5.36</v>
      </c>
    </row>
    <row r="63" spans="1:15" x14ac:dyDescent="0.55000000000000004">
      <c r="A63" t="s">
        <v>45</v>
      </c>
      <c r="B63">
        <v>11.14</v>
      </c>
      <c r="C63" s="5">
        <f t="shared" si="2"/>
        <v>5.78</v>
      </c>
      <c r="D63" s="5">
        <f t="shared" si="3"/>
        <v>16.5</v>
      </c>
      <c r="E63" s="5">
        <v>11.14</v>
      </c>
      <c r="F63">
        <v>12</v>
      </c>
      <c r="G63" s="8">
        <v>13</v>
      </c>
      <c r="H63" s="8">
        <v>9</v>
      </c>
      <c r="I63" t="s">
        <v>81</v>
      </c>
      <c r="J63" t="s">
        <v>82</v>
      </c>
      <c r="K63" t="s">
        <v>86</v>
      </c>
      <c r="L63" s="5">
        <v>5.36</v>
      </c>
    </row>
    <row r="64" spans="1:15" x14ac:dyDescent="0.55000000000000004">
      <c r="A64" t="s">
        <v>36</v>
      </c>
      <c r="B64">
        <v>11.24</v>
      </c>
      <c r="C64" s="5">
        <f t="shared" si="2"/>
        <v>5.88</v>
      </c>
      <c r="D64" s="5">
        <f t="shared" si="3"/>
        <v>16.600000000000001</v>
      </c>
      <c r="E64" s="5">
        <v>11.24</v>
      </c>
      <c r="F64">
        <v>13</v>
      </c>
      <c r="G64" s="8">
        <v>14</v>
      </c>
      <c r="H64" s="8">
        <v>11</v>
      </c>
      <c r="I64" t="s">
        <v>81</v>
      </c>
      <c r="J64" t="s">
        <v>82</v>
      </c>
      <c r="K64" t="s">
        <v>86</v>
      </c>
      <c r="L64" s="5">
        <v>5.36</v>
      </c>
    </row>
    <row r="65" spans="1:15" x14ac:dyDescent="0.55000000000000004">
      <c r="A65" t="s">
        <v>42</v>
      </c>
      <c r="B65">
        <v>12.25</v>
      </c>
      <c r="C65" s="5">
        <f t="shared" si="2"/>
        <v>6.89</v>
      </c>
      <c r="D65" s="5">
        <f t="shared" si="3"/>
        <v>17.61</v>
      </c>
      <c r="E65" s="5">
        <v>17.61</v>
      </c>
      <c r="F65">
        <v>14</v>
      </c>
      <c r="G65" s="8">
        <v>18</v>
      </c>
      <c r="H65" s="8">
        <v>25</v>
      </c>
      <c r="I65" t="s">
        <v>81</v>
      </c>
      <c r="J65" t="s">
        <v>82</v>
      </c>
      <c r="K65" t="s">
        <v>86</v>
      </c>
      <c r="L65" s="5">
        <v>5.36</v>
      </c>
    </row>
    <row r="66" spans="1:15" x14ac:dyDescent="0.55000000000000004">
      <c r="A66" t="s">
        <v>48</v>
      </c>
      <c r="B66">
        <v>12.39</v>
      </c>
      <c r="C66" s="5">
        <f t="shared" ref="C66:C97" si="4">B66-L66</f>
        <v>7.03</v>
      </c>
      <c r="D66" s="5">
        <f t="shared" ref="D66:D101" si="5">B66+L66</f>
        <v>17.75</v>
      </c>
      <c r="E66" s="5">
        <v>7.03</v>
      </c>
      <c r="F66">
        <v>15</v>
      </c>
      <c r="G66" s="8">
        <v>10</v>
      </c>
      <c r="H66" s="8">
        <v>19</v>
      </c>
      <c r="I66" t="s">
        <v>81</v>
      </c>
      <c r="J66" t="s">
        <v>82</v>
      </c>
      <c r="K66" t="s">
        <v>86</v>
      </c>
      <c r="L66" s="5">
        <v>5.36</v>
      </c>
    </row>
    <row r="67" spans="1:15" x14ac:dyDescent="0.55000000000000004">
      <c r="A67" t="s">
        <v>30</v>
      </c>
      <c r="B67">
        <v>13.02</v>
      </c>
      <c r="C67" s="5">
        <f t="shared" si="4"/>
        <v>7.6599999999999993</v>
      </c>
      <c r="D67" s="5">
        <f t="shared" si="5"/>
        <v>18.38</v>
      </c>
      <c r="E67" s="5">
        <v>13.02</v>
      </c>
      <c r="F67">
        <v>16</v>
      </c>
      <c r="G67" s="8">
        <v>15</v>
      </c>
      <c r="H67" s="8">
        <v>13</v>
      </c>
      <c r="I67" t="s">
        <v>81</v>
      </c>
      <c r="J67" t="s">
        <v>82</v>
      </c>
      <c r="K67" t="s">
        <v>86</v>
      </c>
      <c r="L67" s="5">
        <v>5.36</v>
      </c>
    </row>
    <row r="68" spans="1:15" x14ac:dyDescent="0.55000000000000004">
      <c r="A68" t="s">
        <v>31</v>
      </c>
      <c r="B68">
        <v>13.16</v>
      </c>
      <c r="C68" s="5">
        <f t="shared" si="4"/>
        <v>7.8</v>
      </c>
      <c r="D68" s="5">
        <f t="shared" si="5"/>
        <v>18.52</v>
      </c>
      <c r="E68" s="5">
        <v>13.16</v>
      </c>
      <c r="F68">
        <v>17</v>
      </c>
      <c r="G68" s="8">
        <v>16</v>
      </c>
      <c r="H68" s="8">
        <v>23</v>
      </c>
      <c r="I68" t="s">
        <v>81</v>
      </c>
      <c r="J68" t="s">
        <v>82</v>
      </c>
      <c r="K68" t="s">
        <v>86</v>
      </c>
      <c r="L68" s="5">
        <v>5.36</v>
      </c>
    </row>
    <row r="69" spans="1:15" x14ac:dyDescent="0.55000000000000004">
      <c r="A69" t="s">
        <v>41</v>
      </c>
      <c r="B69">
        <v>13.66</v>
      </c>
      <c r="C69" s="5">
        <f t="shared" si="4"/>
        <v>8.3000000000000007</v>
      </c>
      <c r="D69" s="5">
        <f t="shared" si="5"/>
        <v>19.02</v>
      </c>
      <c r="E69" s="5">
        <v>13.66</v>
      </c>
      <c r="F69">
        <v>18</v>
      </c>
      <c r="G69" s="8">
        <v>17</v>
      </c>
      <c r="H69" s="8">
        <v>18</v>
      </c>
      <c r="I69" t="s">
        <v>81</v>
      </c>
      <c r="J69" t="s">
        <v>82</v>
      </c>
      <c r="K69" t="s">
        <v>86</v>
      </c>
      <c r="L69" s="5">
        <v>5.36</v>
      </c>
    </row>
    <row r="70" spans="1:15" x14ac:dyDescent="0.55000000000000004">
      <c r="A70" t="s">
        <v>29</v>
      </c>
      <c r="B70">
        <v>14.2</v>
      </c>
      <c r="C70" s="5">
        <f t="shared" si="4"/>
        <v>8.84</v>
      </c>
      <c r="D70" s="5">
        <f t="shared" si="5"/>
        <v>19.559999999999999</v>
      </c>
      <c r="E70" s="5">
        <v>19.559999999999999</v>
      </c>
      <c r="F70">
        <v>19</v>
      </c>
      <c r="G70" s="8">
        <v>19</v>
      </c>
      <c r="H70" s="8">
        <v>17</v>
      </c>
      <c r="I70" t="s">
        <v>81</v>
      </c>
      <c r="J70" t="s">
        <v>82</v>
      </c>
      <c r="K70" t="s">
        <v>86</v>
      </c>
      <c r="L70" s="5">
        <v>5.36</v>
      </c>
    </row>
    <row r="71" spans="1:15" x14ac:dyDescent="0.55000000000000004">
      <c r="A71" t="s">
        <v>49</v>
      </c>
      <c r="B71">
        <v>14.4</v>
      </c>
      <c r="C71" s="5">
        <f t="shared" si="4"/>
        <v>9.0399999999999991</v>
      </c>
      <c r="D71" s="5">
        <f t="shared" si="5"/>
        <v>19.760000000000002</v>
      </c>
      <c r="E71" s="5">
        <v>19.760000000000002</v>
      </c>
      <c r="F71">
        <v>20</v>
      </c>
      <c r="G71" s="8">
        <v>20</v>
      </c>
      <c r="H71" s="8">
        <v>14</v>
      </c>
      <c r="I71" t="s">
        <v>81</v>
      </c>
      <c r="J71" t="s">
        <v>82</v>
      </c>
      <c r="K71" t="s">
        <v>86</v>
      </c>
      <c r="L71" s="5">
        <v>5.36</v>
      </c>
    </row>
    <row r="72" spans="1:15" x14ac:dyDescent="0.55000000000000004">
      <c r="A72" t="s">
        <v>47</v>
      </c>
      <c r="B72">
        <v>15.16</v>
      </c>
      <c r="C72" s="5">
        <f t="shared" si="4"/>
        <v>9.8000000000000007</v>
      </c>
      <c r="D72" s="5">
        <f t="shared" si="5"/>
        <v>20.52</v>
      </c>
      <c r="E72" s="5">
        <v>20.52</v>
      </c>
      <c r="F72">
        <v>21</v>
      </c>
      <c r="G72" s="8">
        <v>21</v>
      </c>
      <c r="H72" s="8">
        <v>24</v>
      </c>
      <c r="I72" t="s">
        <v>81</v>
      </c>
      <c r="J72" t="s">
        <v>82</v>
      </c>
      <c r="K72" t="s">
        <v>86</v>
      </c>
      <c r="L72" s="5">
        <v>5.36</v>
      </c>
    </row>
    <row r="73" spans="1:15" x14ac:dyDescent="0.55000000000000004">
      <c r="A73" t="s">
        <v>32</v>
      </c>
      <c r="B73">
        <v>15.34</v>
      </c>
      <c r="C73" s="5">
        <f t="shared" si="4"/>
        <v>9.98</v>
      </c>
      <c r="D73" s="5">
        <f t="shared" si="5"/>
        <v>20.7</v>
      </c>
      <c r="E73" s="5">
        <v>20.7</v>
      </c>
      <c r="F73">
        <v>22</v>
      </c>
      <c r="G73" s="8">
        <v>22</v>
      </c>
      <c r="H73" s="8">
        <v>16</v>
      </c>
      <c r="I73" t="s">
        <v>81</v>
      </c>
      <c r="J73" t="s">
        <v>82</v>
      </c>
      <c r="K73" t="s">
        <v>86</v>
      </c>
      <c r="L73" s="5">
        <v>5.36</v>
      </c>
    </row>
    <row r="74" spans="1:15" x14ac:dyDescent="0.55000000000000004">
      <c r="A74" t="s">
        <v>26</v>
      </c>
      <c r="B74">
        <v>15.57</v>
      </c>
      <c r="C74" s="5">
        <f t="shared" si="4"/>
        <v>10.210000000000001</v>
      </c>
      <c r="D74" s="5">
        <f t="shared" si="5"/>
        <v>20.93</v>
      </c>
      <c r="E74" s="5">
        <v>20.93</v>
      </c>
      <c r="F74">
        <v>23</v>
      </c>
      <c r="G74" s="8">
        <v>23</v>
      </c>
      <c r="H74" s="8">
        <v>12</v>
      </c>
      <c r="I74" t="s">
        <v>81</v>
      </c>
      <c r="J74" t="s">
        <v>82</v>
      </c>
      <c r="K74" t="s">
        <v>86</v>
      </c>
      <c r="L74" s="5">
        <v>5.36</v>
      </c>
    </row>
    <row r="75" spans="1:15" x14ac:dyDescent="0.55000000000000004">
      <c r="A75" t="s">
        <v>46</v>
      </c>
      <c r="B75">
        <v>16.53</v>
      </c>
      <c r="C75" s="5">
        <f t="shared" si="4"/>
        <v>11.170000000000002</v>
      </c>
      <c r="D75" s="5">
        <f t="shared" si="5"/>
        <v>21.89</v>
      </c>
      <c r="E75" s="5">
        <v>21.89</v>
      </c>
      <c r="F75">
        <v>24</v>
      </c>
      <c r="G75" s="8">
        <v>24</v>
      </c>
      <c r="H75" s="8">
        <v>22</v>
      </c>
      <c r="I75" t="s">
        <v>81</v>
      </c>
      <c r="J75" t="s">
        <v>82</v>
      </c>
      <c r="K75" t="s">
        <v>86</v>
      </c>
      <c r="L75" s="5">
        <v>5.36</v>
      </c>
    </row>
    <row r="76" spans="1:15" x14ac:dyDescent="0.55000000000000004">
      <c r="A76" t="s">
        <v>43</v>
      </c>
      <c r="B76">
        <v>17.59</v>
      </c>
      <c r="C76" s="5">
        <f t="shared" si="4"/>
        <v>12.23</v>
      </c>
      <c r="D76" s="5">
        <f t="shared" si="5"/>
        <v>22.95</v>
      </c>
      <c r="E76" s="5">
        <v>22.95</v>
      </c>
      <c r="F76">
        <v>25</v>
      </c>
      <c r="G76" s="8">
        <v>25</v>
      </c>
      <c r="H76" s="8">
        <v>21</v>
      </c>
      <c r="I76" t="s">
        <v>81</v>
      </c>
      <c r="J76" t="s">
        <v>82</v>
      </c>
      <c r="K76" t="s">
        <v>86</v>
      </c>
      <c r="L76" s="5">
        <v>5.36</v>
      </c>
    </row>
    <row r="77" spans="1:15" x14ac:dyDescent="0.55000000000000004">
      <c r="A77" s="6" t="s">
        <v>39</v>
      </c>
      <c r="B77" s="6">
        <v>5.63</v>
      </c>
      <c r="C77" s="5">
        <f t="shared" si="4"/>
        <v>0.42999999999999972</v>
      </c>
      <c r="D77" s="5">
        <f t="shared" si="5"/>
        <v>10.83</v>
      </c>
      <c r="E77" s="5">
        <v>0.43</v>
      </c>
      <c r="F77">
        <v>1</v>
      </c>
      <c r="G77" s="8">
        <v>1</v>
      </c>
      <c r="H77" s="8">
        <v>1</v>
      </c>
      <c r="I77" t="s">
        <v>75</v>
      </c>
      <c r="J77" t="s">
        <v>76</v>
      </c>
      <c r="K77" t="s">
        <v>86</v>
      </c>
      <c r="L77" s="5">
        <v>5.2</v>
      </c>
    </row>
    <row r="78" spans="1:15" x14ac:dyDescent="0.55000000000000004">
      <c r="A78" s="6" t="s">
        <v>25</v>
      </c>
      <c r="B78" s="6">
        <v>7.95</v>
      </c>
      <c r="C78" s="5">
        <f t="shared" si="4"/>
        <v>2.75</v>
      </c>
      <c r="D78" s="5">
        <f t="shared" si="5"/>
        <v>13.15</v>
      </c>
      <c r="E78" s="5">
        <v>7.95</v>
      </c>
      <c r="F78">
        <v>2</v>
      </c>
      <c r="G78" s="8">
        <v>8</v>
      </c>
      <c r="H78" s="8">
        <v>6</v>
      </c>
      <c r="I78" t="s">
        <v>75</v>
      </c>
      <c r="J78" t="s">
        <v>76</v>
      </c>
      <c r="K78" t="s">
        <v>86</v>
      </c>
      <c r="L78" s="5">
        <v>5.2</v>
      </c>
      <c r="N78" s="6"/>
      <c r="O78" s="5"/>
    </row>
    <row r="79" spans="1:15" x14ac:dyDescent="0.55000000000000004">
      <c r="A79" s="6" t="s">
        <v>35</v>
      </c>
      <c r="B79" s="6">
        <v>8.39</v>
      </c>
      <c r="C79" s="5">
        <f t="shared" si="4"/>
        <v>3.1900000000000004</v>
      </c>
      <c r="D79" s="5">
        <f t="shared" si="5"/>
        <v>13.59</v>
      </c>
      <c r="E79" s="5">
        <v>3.19</v>
      </c>
      <c r="F79">
        <v>3</v>
      </c>
      <c r="G79" s="8">
        <v>2</v>
      </c>
      <c r="H79" s="8">
        <v>4</v>
      </c>
      <c r="I79" t="s">
        <v>75</v>
      </c>
      <c r="J79" t="s">
        <v>76</v>
      </c>
      <c r="K79" t="s">
        <v>86</v>
      </c>
      <c r="L79" s="5">
        <v>5.2</v>
      </c>
      <c r="N79" s="6"/>
      <c r="O79" s="5"/>
    </row>
    <row r="80" spans="1:15" x14ac:dyDescent="0.55000000000000004">
      <c r="A80" s="6" t="s">
        <v>33</v>
      </c>
      <c r="B80" s="6">
        <v>8.5</v>
      </c>
      <c r="C80" s="5">
        <f t="shared" si="4"/>
        <v>3.3</v>
      </c>
      <c r="D80" s="5">
        <f t="shared" si="5"/>
        <v>13.7</v>
      </c>
      <c r="E80" s="5">
        <v>3.3</v>
      </c>
      <c r="F80">
        <v>4</v>
      </c>
      <c r="G80" s="8">
        <v>3</v>
      </c>
      <c r="H80" s="8">
        <v>5</v>
      </c>
      <c r="I80" t="s">
        <v>75</v>
      </c>
      <c r="J80" t="s">
        <v>76</v>
      </c>
      <c r="K80" t="s">
        <v>86</v>
      </c>
      <c r="L80" s="5">
        <v>5.2</v>
      </c>
      <c r="N80" s="6"/>
      <c r="O80" s="5"/>
    </row>
    <row r="81" spans="1:15" x14ac:dyDescent="0.55000000000000004">
      <c r="A81" s="6" t="s">
        <v>27</v>
      </c>
      <c r="B81" s="6">
        <v>8.82</v>
      </c>
      <c r="C81" s="5">
        <f t="shared" si="4"/>
        <v>3.62</v>
      </c>
      <c r="D81" s="5">
        <f t="shared" si="5"/>
        <v>14.02</v>
      </c>
      <c r="E81" s="5">
        <v>8.82</v>
      </c>
      <c r="F81">
        <v>5</v>
      </c>
      <c r="G81" s="8">
        <v>9</v>
      </c>
      <c r="H81" s="8">
        <v>7</v>
      </c>
      <c r="I81" t="s">
        <v>75</v>
      </c>
      <c r="J81" t="s">
        <v>76</v>
      </c>
      <c r="K81" t="s">
        <v>86</v>
      </c>
      <c r="L81" s="5">
        <v>5.2</v>
      </c>
      <c r="N81" s="6"/>
      <c r="O81" s="5"/>
    </row>
    <row r="82" spans="1:15" x14ac:dyDescent="0.55000000000000004">
      <c r="A82" s="6" t="s">
        <v>34</v>
      </c>
      <c r="B82" s="6">
        <v>9.2100000000000009</v>
      </c>
      <c r="C82" s="5">
        <f t="shared" si="4"/>
        <v>4.0100000000000007</v>
      </c>
      <c r="D82" s="5">
        <f t="shared" si="5"/>
        <v>14.41</v>
      </c>
      <c r="E82" s="5">
        <v>4.01</v>
      </c>
      <c r="F82">
        <v>6</v>
      </c>
      <c r="G82" s="8">
        <v>4</v>
      </c>
      <c r="H82" s="8">
        <v>2</v>
      </c>
      <c r="I82" t="s">
        <v>75</v>
      </c>
      <c r="J82" t="s">
        <v>76</v>
      </c>
      <c r="K82" t="s">
        <v>86</v>
      </c>
      <c r="L82" s="5">
        <v>5.2</v>
      </c>
      <c r="N82" s="6"/>
      <c r="O82" s="5"/>
    </row>
    <row r="83" spans="1:15" x14ac:dyDescent="0.55000000000000004">
      <c r="A83" s="6" t="s">
        <v>41</v>
      </c>
      <c r="B83" s="6">
        <v>9.26</v>
      </c>
      <c r="C83" s="5">
        <f t="shared" si="4"/>
        <v>4.0599999999999996</v>
      </c>
      <c r="D83" s="5">
        <f t="shared" si="5"/>
        <v>14.46</v>
      </c>
      <c r="E83" s="5">
        <v>9.26</v>
      </c>
      <c r="F83">
        <v>7</v>
      </c>
      <c r="G83" s="8">
        <v>10</v>
      </c>
      <c r="H83" s="8">
        <v>3</v>
      </c>
      <c r="I83" t="s">
        <v>75</v>
      </c>
      <c r="J83" t="s">
        <v>76</v>
      </c>
      <c r="K83" t="s">
        <v>86</v>
      </c>
      <c r="L83" s="5">
        <v>5.2</v>
      </c>
      <c r="N83" s="6"/>
      <c r="O83" s="5"/>
    </row>
    <row r="84" spans="1:15" x14ac:dyDescent="0.55000000000000004">
      <c r="A84" s="6" t="s">
        <v>37</v>
      </c>
      <c r="B84" s="6">
        <v>9.27</v>
      </c>
      <c r="C84" s="5">
        <f t="shared" si="4"/>
        <v>4.0699999999999994</v>
      </c>
      <c r="D84" s="5">
        <f t="shared" si="5"/>
        <v>14.469999999999999</v>
      </c>
      <c r="E84" s="5">
        <v>9.27</v>
      </c>
      <c r="F84">
        <v>8</v>
      </c>
      <c r="G84" s="8">
        <v>11</v>
      </c>
      <c r="H84" s="8">
        <v>10</v>
      </c>
      <c r="I84" t="s">
        <v>75</v>
      </c>
      <c r="J84" t="s">
        <v>76</v>
      </c>
      <c r="K84" t="s">
        <v>86</v>
      </c>
      <c r="L84" s="5">
        <v>5.2</v>
      </c>
      <c r="N84" s="6"/>
      <c r="O84" s="5"/>
    </row>
    <row r="85" spans="1:15" x14ac:dyDescent="0.55000000000000004">
      <c r="A85" s="6" t="s">
        <v>36</v>
      </c>
      <c r="B85" s="6">
        <v>9.3000000000000007</v>
      </c>
      <c r="C85" s="5">
        <f t="shared" si="4"/>
        <v>4.1000000000000005</v>
      </c>
      <c r="D85" s="5">
        <f t="shared" si="5"/>
        <v>14.5</v>
      </c>
      <c r="E85" s="5">
        <v>9.3000000000000007</v>
      </c>
      <c r="F85">
        <v>9</v>
      </c>
      <c r="G85" s="8">
        <v>12</v>
      </c>
      <c r="H85" s="8">
        <v>16</v>
      </c>
      <c r="I85" t="s">
        <v>75</v>
      </c>
      <c r="J85" t="s">
        <v>76</v>
      </c>
      <c r="K85" t="s">
        <v>86</v>
      </c>
      <c r="L85" s="5">
        <v>5.2</v>
      </c>
      <c r="N85" s="6"/>
      <c r="O85" s="5"/>
    </row>
    <row r="86" spans="1:15" x14ac:dyDescent="0.55000000000000004">
      <c r="A86" s="6" t="s">
        <v>38</v>
      </c>
      <c r="B86" s="6">
        <v>9.52</v>
      </c>
      <c r="C86" s="5">
        <f t="shared" si="4"/>
        <v>4.3199999999999994</v>
      </c>
      <c r="D86" s="5">
        <f t="shared" si="5"/>
        <v>14.719999999999999</v>
      </c>
      <c r="E86" s="5">
        <v>4.32</v>
      </c>
      <c r="F86">
        <v>10</v>
      </c>
      <c r="G86" s="8">
        <v>5</v>
      </c>
      <c r="H86" s="8">
        <v>17</v>
      </c>
      <c r="I86" t="s">
        <v>75</v>
      </c>
      <c r="J86" t="s">
        <v>76</v>
      </c>
      <c r="K86" t="s">
        <v>86</v>
      </c>
      <c r="L86" s="5">
        <v>5.2</v>
      </c>
      <c r="N86" s="6"/>
      <c r="O86" s="5"/>
    </row>
    <row r="87" spans="1:15" x14ac:dyDescent="0.55000000000000004">
      <c r="A87" s="6" t="s">
        <v>45</v>
      </c>
      <c r="B87" s="6">
        <v>10.9</v>
      </c>
      <c r="C87" s="5">
        <f t="shared" si="4"/>
        <v>5.7</v>
      </c>
      <c r="D87" s="5">
        <f t="shared" si="5"/>
        <v>16.100000000000001</v>
      </c>
      <c r="E87" s="5">
        <v>10.9</v>
      </c>
      <c r="F87">
        <v>11</v>
      </c>
      <c r="G87" s="8">
        <v>13</v>
      </c>
      <c r="H87" s="8">
        <v>11</v>
      </c>
      <c r="I87" t="s">
        <v>75</v>
      </c>
      <c r="J87" t="s">
        <v>76</v>
      </c>
      <c r="K87" t="s">
        <v>86</v>
      </c>
      <c r="L87" s="5">
        <v>5.2</v>
      </c>
      <c r="N87" s="6"/>
      <c r="O87" s="5"/>
    </row>
    <row r="88" spans="1:15" x14ac:dyDescent="0.55000000000000004">
      <c r="A88" s="6" t="s">
        <v>28</v>
      </c>
      <c r="B88" s="6">
        <v>11.44</v>
      </c>
      <c r="C88" s="5">
        <f t="shared" si="4"/>
        <v>6.2399999999999993</v>
      </c>
      <c r="D88" s="5">
        <f t="shared" si="5"/>
        <v>16.64</v>
      </c>
      <c r="E88" s="5">
        <v>11.44</v>
      </c>
      <c r="F88">
        <v>12</v>
      </c>
      <c r="G88" s="8">
        <v>14</v>
      </c>
      <c r="H88" s="8">
        <v>9</v>
      </c>
      <c r="I88" t="s">
        <v>75</v>
      </c>
      <c r="J88" t="s">
        <v>76</v>
      </c>
      <c r="K88" t="s">
        <v>86</v>
      </c>
      <c r="L88" s="5">
        <v>5.2</v>
      </c>
      <c r="N88" s="6"/>
      <c r="O88" s="5"/>
    </row>
    <row r="89" spans="1:15" x14ac:dyDescent="0.55000000000000004">
      <c r="A89" s="6" t="s">
        <v>31</v>
      </c>
      <c r="B89" s="6">
        <v>11.89</v>
      </c>
      <c r="C89" s="5">
        <f t="shared" si="4"/>
        <v>6.69</v>
      </c>
      <c r="D89" s="5">
        <f t="shared" si="5"/>
        <v>17.09</v>
      </c>
      <c r="E89" s="5">
        <v>6.69</v>
      </c>
      <c r="F89">
        <v>13</v>
      </c>
      <c r="G89" s="8">
        <v>6</v>
      </c>
      <c r="H89" s="8">
        <v>15</v>
      </c>
      <c r="I89" t="s">
        <v>75</v>
      </c>
      <c r="J89" t="s">
        <v>76</v>
      </c>
      <c r="K89" t="s">
        <v>86</v>
      </c>
      <c r="L89" s="5">
        <v>5.2</v>
      </c>
      <c r="N89" s="6"/>
      <c r="O89" s="5"/>
    </row>
    <row r="90" spans="1:15" x14ac:dyDescent="0.55000000000000004">
      <c r="A90" s="6" t="s">
        <v>29</v>
      </c>
      <c r="B90" s="6">
        <v>12.26</v>
      </c>
      <c r="C90" s="5">
        <f t="shared" si="4"/>
        <v>7.06</v>
      </c>
      <c r="D90" s="5">
        <f t="shared" si="5"/>
        <v>17.46</v>
      </c>
      <c r="E90" s="5">
        <v>12.26</v>
      </c>
      <c r="F90">
        <v>14</v>
      </c>
      <c r="G90" s="8">
        <v>16</v>
      </c>
      <c r="H90" s="8">
        <v>8</v>
      </c>
      <c r="I90" t="s">
        <v>75</v>
      </c>
      <c r="J90" t="s">
        <v>76</v>
      </c>
      <c r="K90" t="s">
        <v>86</v>
      </c>
      <c r="L90" s="5">
        <v>5.2</v>
      </c>
      <c r="N90" s="6"/>
      <c r="O90" s="5"/>
    </row>
    <row r="91" spans="1:15" x14ac:dyDescent="0.55000000000000004">
      <c r="A91" s="6" t="s">
        <v>40</v>
      </c>
      <c r="B91" s="6">
        <v>12.39</v>
      </c>
      <c r="C91" s="5">
        <f t="shared" si="4"/>
        <v>7.19</v>
      </c>
      <c r="D91" s="5">
        <f t="shared" si="5"/>
        <v>17.59</v>
      </c>
      <c r="E91" s="5">
        <v>7.19</v>
      </c>
      <c r="F91">
        <v>15</v>
      </c>
      <c r="G91" s="8">
        <v>7</v>
      </c>
      <c r="H91" s="8">
        <v>12</v>
      </c>
      <c r="I91" t="s">
        <v>75</v>
      </c>
      <c r="J91" t="s">
        <v>76</v>
      </c>
      <c r="K91" t="s">
        <v>86</v>
      </c>
      <c r="L91" s="5">
        <v>5.2</v>
      </c>
      <c r="N91" s="6"/>
      <c r="O91" s="5"/>
    </row>
    <row r="92" spans="1:15" x14ac:dyDescent="0.55000000000000004">
      <c r="A92" s="6" t="s">
        <v>44</v>
      </c>
      <c r="B92" s="6">
        <v>12.74</v>
      </c>
      <c r="C92" s="5">
        <f t="shared" si="4"/>
        <v>7.54</v>
      </c>
      <c r="D92" s="5">
        <f t="shared" si="5"/>
        <v>17.940000000000001</v>
      </c>
      <c r="E92" s="5">
        <v>12.74</v>
      </c>
      <c r="F92">
        <v>16</v>
      </c>
      <c r="G92" s="8">
        <v>17</v>
      </c>
      <c r="H92" s="8">
        <v>13</v>
      </c>
      <c r="I92" t="s">
        <v>75</v>
      </c>
      <c r="J92" t="s">
        <v>76</v>
      </c>
      <c r="K92" t="s">
        <v>86</v>
      </c>
      <c r="L92" s="5">
        <v>5.2</v>
      </c>
      <c r="N92" s="6"/>
      <c r="O92" s="5"/>
    </row>
    <row r="93" spans="1:15" x14ac:dyDescent="0.55000000000000004">
      <c r="A93" s="6" t="s">
        <v>48</v>
      </c>
      <c r="B93" s="6">
        <v>12.78</v>
      </c>
      <c r="C93" s="5">
        <f t="shared" si="4"/>
        <v>7.5799999999999992</v>
      </c>
      <c r="D93" s="5">
        <f t="shared" si="5"/>
        <v>17.98</v>
      </c>
      <c r="E93" s="5">
        <v>17.98</v>
      </c>
      <c r="F93">
        <v>17</v>
      </c>
      <c r="G93" s="8">
        <v>22</v>
      </c>
      <c r="H93" s="8">
        <v>20</v>
      </c>
      <c r="I93" t="s">
        <v>75</v>
      </c>
      <c r="J93" t="s">
        <v>76</v>
      </c>
      <c r="K93" t="s">
        <v>86</v>
      </c>
      <c r="L93" s="5">
        <v>5.2</v>
      </c>
      <c r="N93" s="6"/>
      <c r="O93" s="5"/>
    </row>
    <row r="94" spans="1:15" x14ac:dyDescent="0.55000000000000004">
      <c r="A94" s="6" t="s">
        <v>49</v>
      </c>
      <c r="B94" s="6">
        <v>13.64</v>
      </c>
      <c r="C94" s="5">
        <f t="shared" si="4"/>
        <v>8.4400000000000013</v>
      </c>
      <c r="D94" s="5">
        <f t="shared" si="5"/>
        <v>18.84</v>
      </c>
      <c r="E94" s="5">
        <v>13.64</v>
      </c>
      <c r="F94">
        <v>18</v>
      </c>
      <c r="G94" s="8">
        <v>18</v>
      </c>
      <c r="H94" s="8">
        <v>14</v>
      </c>
      <c r="I94" t="s">
        <v>75</v>
      </c>
      <c r="J94" t="s">
        <v>76</v>
      </c>
      <c r="K94" t="s">
        <v>86</v>
      </c>
      <c r="L94" s="5">
        <v>5.2</v>
      </c>
      <c r="N94" s="6"/>
      <c r="O94" s="5"/>
    </row>
    <row r="95" spans="1:15" x14ac:dyDescent="0.55000000000000004">
      <c r="A95" s="6" t="s">
        <v>42</v>
      </c>
      <c r="B95" s="6">
        <v>13.75</v>
      </c>
      <c r="C95" s="5">
        <f t="shared" si="4"/>
        <v>8.5500000000000007</v>
      </c>
      <c r="D95" s="5">
        <f t="shared" si="5"/>
        <v>18.95</v>
      </c>
      <c r="E95" s="5">
        <v>18.95</v>
      </c>
      <c r="F95">
        <v>19</v>
      </c>
      <c r="G95" s="8">
        <v>23</v>
      </c>
      <c r="H95" s="8">
        <v>19</v>
      </c>
      <c r="I95" t="s">
        <v>75</v>
      </c>
      <c r="J95" t="s">
        <v>76</v>
      </c>
      <c r="K95" t="s">
        <v>86</v>
      </c>
      <c r="L95" s="5">
        <v>5.2</v>
      </c>
      <c r="N95" s="6"/>
      <c r="O95" s="5"/>
    </row>
    <row r="96" spans="1:15" x14ac:dyDescent="0.55000000000000004">
      <c r="A96" s="6" t="s">
        <v>47</v>
      </c>
      <c r="B96" s="6">
        <v>14.11</v>
      </c>
      <c r="C96" s="5">
        <f t="shared" si="4"/>
        <v>8.91</v>
      </c>
      <c r="D96" s="5">
        <f t="shared" si="5"/>
        <v>19.309999999999999</v>
      </c>
      <c r="E96" s="5">
        <v>19.309999999999999</v>
      </c>
      <c r="F96">
        <v>20</v>
      </c>
      <c r="G96" s="8">
        <v>24</v>
      </c>
      <c r="H96" s="8">
        <v>18</v>
      </c>
      <c r="I96" t="s">
        <v>75</v>
      </c>
      <c r="J96" t="s">
        <v>76</v>
      </c>
      <c r="K96" t="s">
        <v>86</v>
      </c>
      <c r="L96" s="5">
        <v>5.2</v>
      </c>
      <c r="N96" s="6"/>
      <c r="O96" s="5"/>
    </row>
    <row r="97" spans="1:15" x14ac:dyDescent="0.55000000000000004">
      <c r="A97" s="6" t="s">
        <v>30</v>
      </c>
      <c r="B97" s="6">
        <v>15.58</v>
      </c>
      <c r="C97" s="5">
        <f t="shared" si="4"/>
        <v>10.379999999999999</v>
      </c>
      <c r="D97" s="5">
        <f t="shared" si="5"/>
        <v>20.78</v>
      </c>
      <c r="E97" s="5">
        <v>15.58</v>
      </c>
      <c r="F97">
        <v>21</v>
      </c>
      <c r="G97" s="8">
        <v>19</v>
      </c>
      <c r="H97" s="8">
        <v>25</v>
      </c>
      <c r="I97" t="s">
        <v>75</v>
      </c>
      <c r="J97" t="s">
        <v>76</v>
      </c>
      <c r="K97" t="s">
        <v>86</v>
      </c>
      <c r="L97" s="5">
        <v>5.2</v>
      </c>
      <c r="N97" s="6"/>
      <c r="O97" s="5"/>
    </row>
    <row r="98" spans="1:15" x14ac:dyDescent="0.55000000000000004">
      <c r="A98" s="6" t="s">
        <v>46</v>
      </c>
      <c r="B98" s="6">
        <v>16.14</v>
      </c>
      <c r="C98" s="5">
        <f t="shared" ref="C98:C101" si="6">B98-L98</f>
        <v>10.940000000000001</v>
      </c>
      <c r="D98" s="5">
        <f t="shared" si="5"/>
        <v>21.34</v>
      </c>
      <c r="E98" s="5">
        <v>16.14</v>
      </c>
      <c r="F98">
        <v>22</v>
      </c>
      <c r="G98" s="8">
        <v>20</v>
      </c>
      <c r="H98" s="8">
        <v>24</v>
      </c>
      <c r="I98" t="s">
        <v>75</v>
      </c>
      <c r="J98" t="s">
        <v>76</v>
      </c>
      <c r="K98" t="s">
        <v>86</v>
      </c>
      <c r="L98" s="5">
        <v>5.2</v>
      </c>
      <c r="N98" s="6"/>
      <c r="O98" s="5"/>
    </row>
    <row r="99" spans="1:15" x14ac:dyDescent="0.55000000000000004">
      <c r="A99" s="6" t="s">
        <v>32</v>
      </c>
      <c r="B99" s="6">
        <v>16.88</v>
      </c>
      <c r="C99" s="5">
        <f t="shared" si="6"/>
        <v>11.68</v>
      </c>
      <c r="D99" s="5">
        <f t="shared" si="5"/>
        <v>22.08</v>
      </c>
      <c r="E99" s="5">
        <v>16.88</v>
      </c>
      <c r="F99">
        <v>23</v>
      </c>
      <c r="G99" s="8">
        <v>21</v>
      </c>
      <c r="H99" s="8">
        <v>23</v>
      </c>
      <c r="I99" t="s">
        <v>75</v>
      </c>
      <c r="J99" t="s">
        <v>76</v>
      </c>
      <c r="K99" t="s">
        <v>86</v>
      </c>
      <c r="L99" s="5">
        <v>5.2</v>
      </c>
      <c r="N99" s="6"/>
      <c r="O99" s="5"/>
    </row>
    <row r="100" spans="1:15" x14ac:dyDescent="0.55000000000000004">
      <c r="A100" s="6" t="s">
        <v>26</v>
      </c>
      <c r="B100" s="6">
        <v>17.329999999999998</v>
      </c>
      <c r="C100" s="5">
        <f t="shared" si="6"/>
        <v>12.129999999999999</v>
      </c>
      <c r="D100" s="5">
        <f t="shared" si="5"/>
        <v>22.529999999999998</v>
      </c>
      <c r="E100" s="5">
        <v>12.13</v>
      </c>
      <c r="F100">
        <v>24</v>
      </c>
      <c r="G100" s="8">
        <v>15</v>
      </c>
      <c r="H100" s="8">
        <v>21</v>
      </c>
      <c r="I100" t="s">
        <v>75</v>
      </c>
      <c r="J100" t="s">
        <v>76</v>
      </c>
      <c r="K100" t="s">
        <v>86</v>
      </c>
      <c r="L100" s="5">
        <v>5.2</v>
      </c>
      <c r="N100" s="6"/>
      <c r="O100" s="5"/>
    </row>
    <row r="101" spans="1:15" x14ac:dyDescent="0.55000000000000004">
      <c r="A101" s="6" t="s">
        <v>43</v>
      </c>
      <c r="B101" s="6">
        <v>17.54</v>
      </c>
      <c r="C101" s="5">
        <f t="shared" si="6"/>
        <v>12.34</v>
      </c>
      <c r="D101" s="5">
        <f t="shared" si="5"/>
        <v>22.74</v>
      </c>
      <c r="E101" s="5">
        <v>22.74</v>
      </c>
      <c r="F101">
        <v>25</v>
      </c>
      <c r="G101" s="8">
        <v>25</v>
      </c>
      <c r="H101" s="8">
        <v>22</v>
      </c>
      <c r="I101" t="s">
        <v>75</v>
      </c>
      <c r="J101" t="s">
        <v>76</v>
      </c>
      <c r="K101" t="s">
        <v>86</v>
      </c>
      <c r="L101" s="5">
        <v>5.2</v>
      </c>
      <c r="N101" s="6"/>
      <c r="O101" s="5"/>
    </row>
    <row r="102" spans="1:15" x14ac:dyDescent="0.55000000000000004">
      <c r="A102" s="6" t="s">
        <v>39</v>
      </c>
      <c r="B102" s="6">
        <v>6.11</v>
      </c>
      <c r="C102" s="5">
        <f>B102-L102</f>
        <v>0.97000000000000064</v>
      </c>
      <c r="D102" s="5">
        <f>B102+L102</f>
        <v>11.25</v>
      </c>
      <c r="E102" s="5">
        <v>0.97</v>
      </c>
      <c r="F102">
        <v>1</v>
      </c>
      <c r="G102" s="8">
        <v>1</v>
      </c>
      <c r="H102" s="8">
        <v>1</v>
      </c>
      <c r="I102" t="s">
        <v>88</v>
      </c>
      <c r="J102" t="s">
        <v>82</v>
      </c>
      <c r="K102" t="s">
        <v>86</v>
      </c>
      <c r="L102" s="5">
        <v>5.14</v>
      </c>
      <c r="N102" s="6"/>
      <c r="O102" s="5"/>
    </row>
    <row r="103" spans="1:15" x14ac:dyDescent="0.55000000000000004">
      <c r="A103" s="6" t="s">
        <v>27</v>
      </c>
      <c r="B103" s="6">
        <v>6.82</v>
      </c>
      <c r="C103" s="5">
        <f t="shared" ref="C103:C126" si="7">B103-L103</f>
        <v>1.6800000000000006</v>
      </c>
      <c r="D103" s="5">
        <f t="shared" ref="D103:D126" si="8">B103+L103</f>
        <v>11.96</v>
      </c>
      <c r="E103" s="5">
        <v>6.82</v>
      </c>
      <c r="F103">
        <v>2</v>
      </c>
      <c r="G103" s="8">
        <v>7</v>
      </c>
      <c r="H103" s="8">
        <v>3</v>
      </c>
      <c r="I103" t="s">
        <v>88</v>
      </c>
      <c r="J103" t="s">
        <v>82</v>
      </c>
      <c r="K103" t="s">
        <v>86</v>
      </c>
      <c r="L103" s="5">
        <v>5.14</v>
      </c>
      <c r="N103" s="6"/>
      <c r="O103" s="5"/>
    </row>
    <row r="104" spans="1:15" x14ac:dyDescent="0.55000000000000004">
      <c r="A104" s="6" t="s">
        <v>33</v>
      </c>
      <c r="B104" s="6">
        <v>6.93</v>
      </c>
      <c r="C104" s="5">
        <f t="shared" si="7"/>
        <v>1.79</v>
      </c>
      <c r="D104" s="5">
        <f t="shared" si="8"/>
        <v>12.07</v>
      </c>
      <c r="E104" s="5">
        <v>1.79</v>
      </c>
      <c r="F104">
        <v>3</v>
      </c>
      <c r="G104" s="8">
        <v>2</v>
      </c>
      <c r="H104" s="8">
        <v>4</v>
      </c>
      <c r="I104" t="s">
        <v>88</v>
      </c>
      <c r="J104" t="s">
        <v>82</v>
      </c>
      <c r="K104" t="s">
        <v>86</v>
      </c>
      <c r="L104" s="5">
        <v>5.14</v>
      </c>
      <c r="N104" s="6"/>
      <c r="O104" s="5"/>
    </row>
    <row r="105" spans="1:15" x14ac:dyDescent="0.55000000000000004">
      <c r="A105" s="6" t="s">
        <v>38</v>
      </c>
      <c r="B105" s="6">
        <v>7.73</v>
      </c>
      <c r="C105" s="5">
        <f t="shared" si="7"/>
        <v>2.5900000000000007</v>
      </c>
      <c r="D105" s="5">
        <f t="shared" si="8"/>
        <v>12.870000000000001</v>
      </c>
      <c r="E105" s="5">
        <v>2.59</v>
      </c>
      <c r="F105">
        <v>4</v>
      </c>
      <c r="G105" s="8">
        <v>3</v>
      </c>
      <c r="H105" s="8">
        <v>5</v>
      </c>
      <c r="I105" t="s">
        <v>88</v>
      </c>
      <c r="J105" t="s">
        <v>82</v>
      </c>
      <c r="K105" t="s">
        <v>86</v>
      </c>
      <c r="L105" s="5">
        <v>5.14</v>
      </c>
      <c r="N105" s="6"/>
      <c r="O105" s="5"/>
    </row>
    <row r="106" spans="1:15" x14ac:dyDescent="0.55000000000000004">
      <c r="A106" s="6" t="s">
        <v>36</v>
      </c>
      <c r="B106" s="6">
        <v>8.82</v>
      </c>
      <c r="C106" s="5">
        <f t="shared" si="7"/>
        <v>3.6800000000000006</v>
      </c>
      <c r="D106" s="5">
        <f t="shared" si="8"/>
        <v>13.96</v>
      </c>
      <c r="E106" s="5">
        <v>8.82</v>
      </c>
      <c r="F106">
        <v>5</v>
      </c>
      <c r="G106" s="8">
        <v>8</v>
      </c>
      <c r="H106" s="8">
        <v>6</v>
      </c>
      <c r="I106" t="s">
        <v>88</v>
      </c>
      <c r="J106" t="s">
        <v>82</v>
      </c>
      <c r="K106" t="s">
        <v>86</v>
      </c>
      <c r="L106" s="5">
        <v>5.14</v>
      </c>
      <c r="N106" s="6"/>
      <c r="O106" s="5"/>
    </row>
    <row r="107" spans="1:15" x14ac:dyDescent="0.55000000000000004">
      <c r="A107" s="6" t="s">
        <v>40</v>
      </c>
      <c r="B107" s="6">
        <v>8.84</v>
      </c>
      <c r="C107" s="5">
        <f t="shared" si="7"/>
        <v>3.7</v>
      </c>
      <c r="D107" s="5">
        <f t="shared" si="8"/>
        <v>13.98</v>
      </c>
      <c r="E107" s="5">
        <v>8.84</v>
      </c>
      <c r="F107">
        <v>6</v>
      </c>
      <c r="G107" s="8">
        <v>9</v>
      </c>
      <c r="H107" s="8">
        <v>19</v>
      </c>
      <c r="I107" t="s">
        <v>88</v>
      </c>
      <c r="J107" t="s">
        <v>82</v>
      </c>
      <c r="K107" t="s">
        <v>86</v>
      </c>
      <c r="L107" s="5">
        <v>5.14</v>
      </c>
      <c r="N107" s="6"/>
      <c r="O107" s="5"/>
    </row>
    <row r="108" spans="1:15" x14ac:dyDescent="0.55000000000000004">
      <c r="A108" s="6" t="s">
        <v>44</v>
      </c>
      <c r="B108" s="6">
        <v>9.17</v>
      </c>
      <c r="C108" s="5">
        <f t="shared" si="7"/>
        <v>4.03</v>
      </c>
      <c r="D108" s="5">
        <f t="shared" si="8"/>
        <v>14.309999999999999</v>
      </c>
      <c r="E108" s="5">
        <v>4.03</v>
      </c>
      <c r="F108">
        <v>7</v>
      </c>
      <c r="G108" s="8">
        <v>4</v>
      </c>
      <c r="H108" s="8">
        <v>2</v>
      </c>
      <c r="I108" t="s">
        <v>88</v>
      </c>
      <c r="J108" t="s">
        <v>82</v>
      </c>
      <c r="K108" t="s">
        <v>86</v>
      </c>
      <c r="L108" s="5">
        <v>5.14</v>
      </c>
      <c r="N108" s="6"/>
      <c r="O108" s="5"/>
    </row>
    <row r="109" spans="1:15" x14ac:dyDescent="0.55000000000000004">
      <c r="A109" s="6" t="s">
        <v>35</v>
      </c>
      <c r="B109" s="6">
        <v>9.33</v>
      </c>
      <c r="C109" s="5">
        <f t="shared" si="7"/>
        <v>4.1900000000000004</v>
      </c>
      <c r="D109" s="5">
        <f t="shared" si="8"/>
        <v>14.469999999999999</v>
      </c>
      <c r="E109" s="5">
        <v>4.1900000000000004</v>
      </c>
      <c r="F109">
        <v>8</v>
      </c>
      <c r="G109" s="8">
        <v>5</v>
      </c>
      <c r="H109" s="8">
        <v>7</v>
      </c>
      <c r="I109" t="s">
        <v>88</v>
      </c>
      <c r="J109" t="s">
        <v>82</v>
      </c>
      <c r="K109" t="s">
        <v>86</v>
      </c>
      <c r="L109" s="5">
        <v>5.14</v>
      </c>
      <c r="N109" s="6"/>
      <c r="O109" s="5"/>
    </row>
    <row r="110" spans="1:15" x14ac:dyDescent="0.55000000000000004">
      <c r="A110" s="6" t="s">
        <v>37</v>
      </c>
      <c r="B110" s="6">
        <v>10.39</v>
      </c>
      <c r="C110" s="5">
        <f t="shared" si="7"/>
        <v>5.2500000000000009</v>
      </c>
      <c r="D110" s="5">
        <f t="shared" si="8"/>
        <v>15.530000000000001</v>
      </c>
      <c r="E110" s="5">
        <v>10.39</v>
      </c>
      <c r="F110">
        <v>9</v>
      </c>
      <c r="G110" s="8">
        <v>10</v>
      </c>
      <c r="H110" s="8">
        <v>14</v>
      </c>
      <c r="I110" t="s">
        <v>88</v>
      </c>
      <c r="J110" t="s">
        <v>82</v>
      </c>
      <c r="K110" t="s">
        <v>86</v>
      </c>
      <c r="L110" s="5">
        <v>5.14</v>
      </c>
      <c r="N110" s="6"/>
      <c r="O110" s="5"/>
    </row>
    <row r="111" spans="1:15" x14ac:dyDescent="0.55000000000000004">
      <c r="A111" s="6" t="s">
        <v>48</v>
      </c>
      <c r="B111" s="6">
        <v>10.63</v>
      </c>
      <c r="C111" s="5">
        <f t="shared" si="7"/>
        <v>5.4900000000000011</v>
      </c>
      <c r="D111" s="5">
        <f t="shared" si="8"/>
        <v>15.77</v>
      </c>
      <c r="E111" s="5">
        <v>10.63</v>
      </c>
      <c r="F111">
        <v>10</v>
      </c>
      <c r="G111" s="8">
        <v>11</v>
      </c>
      <c r="H111" s="8">
        <v>10</v>
      </c>
      <c r="I111" t="s">
        <v>88</v>
      </c>
      <c r="J111" t="s">
        <v>82</v>
      </c>
      <c r="K111" t="s">
        <v>86</v>
      </c>
      <c r="L111" s="5">
        <v>5.14</v>
      </c>
      <c r="N111" s="6"/>
      <c r="O111" s="5"/>
    </row>
    <row r="112" spans="1:15" x14ac:dyDescent="0.55000000000000004">
      <c r="A112" s="6" t="s">
        <v>34</v>
      </c>
      <c r="B112" s="6">
        <v>10.86</v>
      </c>
      <c r="C112" s="5">
        <f t="shared" si="7"/>
        <v>5.72</v>
      </c>
      <c r="D112" s="5">
        <f t="shared" si="8"/>
        <v>16</v>
      </c>
      <c r="E112" s="5">
        <v>5.72</v>
      </c>
      <c r="F112">
        <v>11</v>
      </c>
      <c r="G112" s="8">
        <v>6</v>
      </c>
      <c r="H112" s="8">
        <v>20</v>
      </c>
      <c r="I112" t="s">
        <v>88</v>
      </c>
      <c r="J112" t="s">
        <v>82</v>
      </c>
      <c r="K112" t="s">
        <v>86</v>
      </c>
      <c r="L112" s="5">
        <v>5.14</v>
      </c>
      <c r="N112" s="6"/>
      <c r="O112" s="5"/>
    </row>
    <row r="113" spans="1:15" x14ac:dyDescent="0.55000000000000004">
      <c r="A113" s="6" t="s">
        <v>25</v>
      </c>
      <c r="B113" s="6">
        <v>11.07</v>
      </c>
      <c r="C113" s="5">
        <f t="shared" si="7"/>
        <v>5.9300000000000006</v>
      </c>
      <c r="D113" s="5">
        <f t="shared" si="8"/>
        <v>16.21</v>
      </c>
      <c r="E113" s="5">
        <v>11.07</v>
      </c>
      <c r="F113">
        <v>12</v>
      </c>
      <c r="G113" s="8">
        <v>13</v>
      </c>
      <c r="H113" s="8">
        <v>24</v>
      </c>
      <c r="I113" t="s">
        <v>88</v>
      </c>
      <c r="J113" t="s">
        <v>82</v>
      </c>
      <c r="K113" t="s">
        <v>86</v>
      </c>
      <c r="L113" s="5">
        <v>5.14</v>
      </c>
      <c r="N113" s="6"/>
      <c r="O113" s="5"/>
    </row>
    <row r="114" spans="1:15" x14ac:dyDescent="0.55000000000000004">
      <c r="A114" s="6" t="s">
        <v>41</v>
      </c>
      <c r="B114" s="6">
        <v>11.64</v>
      </c>
      <c r="C114" s="5">
        <f t="shared" si="7"/>
        <v>6.5000000000000009</v>
      </c>
      <c r="D114" s="5">
        <f t="shared" si="8"/>
        <v>16.78</v>
      </c>
      <c r="E114" s="5">
        <v>11.64</v>
      </c>
      <c r="F114">
        <v>13</v>
      </c>
      <c r="G114" s="8">
        <v>14</v>
      </c>
      <c r="H114" s="8">
        <v>8</v>
      </c>
      <c r="I114" t="s">
        <v>88</v>
      </c>
      <c r="J114" t="s">
        <v>82</v>
      </c>
      <c r="K114" t="s">
        <v>86</v>
      </c>
      <c r="L114" s="5">
        <v>5.14</v>
      </c>
      <c r="N114" s="6"/>
      <c r="O114" s="5"/>
    </row>
    <row r="115" spans="1:15" x14ac:dyDescent="0.55000000000000004">
      <c r="A115" s="6" t="s">
        <v>28</v>
      </c>
      <c r="B115" s="6">
        <v>11.87</v>
      </c>
      <c r="C115" s="5">
        <f t="shared" si="7"/>
        <v>6.7299999999999995</v>
      </c>
      <c r="D115" s="5">
        <f t="shared" si="8"/>
        <v>17.009999999999998</v>
      </c>
      <c r="E115" s="5">
        <v>11.87</v>
      </c>
      <c r="F115">
        <v>14</v>
      </c>
      <c r="G115" s="8">
        <v>15</v>
      </c>
      <c r="H115" s="8">
        <v>25</v>
      </c>
      <c r="I115" t="s">
        <v>88</v>
      </c>
      <c r="J115" t="s">
        <v>82</v>
      </c>
      <c r="K115" t="s">
        <v>86</v>
      </c>
      <c r="L115" s="5">
        <v>5.14</v>
      </c>
      <c r="N115" s="6"/>
      <c r="O115" s="5"/>
    </row>
    <row r="116" spans="1:15" x14ac:dyDescent="0.55000000000000004">
      <c r="A116" s="6" t="s">
        <v>45</v>
      </c>
      <c r="B116" s="6">
        <v>13.32</v>
      </c>
      <c r="C116" s="5">
        <f t="shared" si="7"/>
        <v>8.18</v>
      </c>
      <c r="D116" s="5">
        <f t="shared" si="8"/>
        <v>18.46</v>
      </c>
      <c r="E116" s="5">
        <v>13.32</v>
      </c>
      <c r="F116">
        <v>15</v>
      </c>
      <c r="G116" s="8">
        <v>16</v>
      </c>
      <c r="H116" s="8">
        <v>9</v>
      </c>
      <c r="I116" t="s">
        <v>88</v>
      </c>
      <c r="J116" t="s">
        <v>82</v>
      </c>
      <c r="K116" t="s">
        <v>86</v>
      </c>
      <c r="L116" s="5">
        <v>5.14</v>
      </c>
      <c r="N116" s="6"/>
      <c r="O116" s="5"/>
    </row>
    <row r="117" spans="1:15" x14ac:dyDescent="0.55000000000000004">
      <c r="A117" s="6" t="s">
        <v>49</v>
      </c>
      <c r="B117" s="6">
        <v>13.63</v>
      </c>
      <c r="C117" s="5">
        <f t="shared" si="7"/>
        <v>8.490000000000002</v>
      </c>
      <c r="D117" s="5">
        <f t="shared" si="8"/>
        <v>18.77</v>
      </c>
      <c r="E117" s="5">
        <v>13.63</v>
      </c>
      <c r="F117">
        <v>16</v>
      </c>
      <c r="G117" s="8">
        <v>17</v>
      </c>
      <c r="H117" s="8">
        <v>13</v>
      </c>
      <c r="I117" t="s">
        <v>88</v>
      </c>
      <c r="J117" t="s">
        <v>82</v>
      </c>
      <c r="K117" t="s">
        <v>86</v>
      </c>
      <c r="L117" s="5">
        <v>5.14</v>
      </c>
      <c r="N117" s="6"/>
      <c r="O117" s="5"/>
    </row>
    <row r="118" spans="1:15" x14ac:dyDescent="0.55000000000000004">
      <c r="A118" s="6" t="s">
        <v>42</v>
      </c>
      <c r="B118" s="6">
        <v>14.58</v>
      </c>
      <c r="C118" s="5">
        <f t="shared" si="7"/>
        <v>9.4400000000000013</v>
      </c>
      <c r="D118" s="5">
        <f t="shared" si="8"/>
        <v>19.72</v>
      </c>
      <c r="E118" s="5">
        <v>19.72</v>
      </c>
      <c r="F118">
        <v>17</v>
      </c>
      <c r="G118" s="8">
        <v>23</v>
      </c>
      <c r="H118" s="8">
        <v>15</v>
      </c>
      <c r="I118" t="s">
        <v>88</v>
      </c>
      <c r="J118" t="s">
        <v>82</v>
      </c>
      <c r="K118" t="s">
        <v>86</v>
      </c>
      <c r="L118" s="5">
        <v>5.14</v>
      </c>
      <c r="N118" s="6"/>
      <c r="O118" s="5"/>
    </row>
    <row r="119" spans="1:15" x14ac:dyDescent="0.55000000000000004">
      <c r="A119" s="6" t="s">
        <v>30</v>
      </c>
      <c r="B119" s="6">
        <v>14.64</v>
      </c>
      <c r="C119" s="5">
        <f t="shared" si="7"/>
        <v>9.5</v>
      </c>
      <c r="D119" s="5">
        <f t="shared" si="8"/>
        <v>19.78</v>
      </c>
      <c r="E119" s="5">
        <v>14.64</v>
      </c>
      <c r="F119">
        <v>18</v>
      </c>
      <c r="G119" s="8">
        <v>18</v>
      </c>
      <c r="H119" s="8">
        <v>16</v>
      </c>
      <c r="I119" t="s">
        <v>88</v>
      </c>
      <c r="J119" t="s">
        <v>82</v>
      </c>
      <c r="K119" t="s">
        <v>86</v>
      </c>
      <c r="L119" s="5">
        <v>5.14</v>
      </c>
      <c r="N119" s="6"/>
      <c r="O119" s="5"/>
    </row>
    <row r="120" spans="1:15" x14ac:dyDescent="0.55000000000000004">
      <c r="A120" s="6" t="s">
        <v>32</v>
      </c>
      <c r="B120" s="6">
        <v>15.45</v>
      </c>
      <c r="C120" s="5">
        <f t="shared" si="7"/>
        <v>10.309999999999999</v>
      </c>
      <c r="D120" s="5">
        <f t="shared" si="8"/>
        <v>20.59</v>
      </c>
      <c r="E120" s="5">
        <v>15.45</v>
      </c>
      <c r="F120">
        <v>19</v>
      </c>
      <c r="G120" s="8">
        <v>19</v>
      </c>
      <c r="H120" s="8">
        <v>11</v>
      </c>
      <c r="I120" t="s">
        <v>88</v>
      </c>
      <c r="J120" t="s">
        <v>82</v>
      </c>
      <c r="K120" t="s">
        <v>86</v>
      </c>
      <c r="L120" s="5">
        <v>5.14</v>
      </c>
      <c r="N120" s="6"/>
      <c r="O120" s="5"/>
    </row>
    <row r="121" spans="1:15" x14ac:dyDescent="0.55000000000000004">
      <c r="A121" s="6" t="s">
        <v>29</v>
      </c>
      <c r="B121" s="6">
        <v>15.56</v>
      </c>
      <c r="C121" s="5">
        <f t="shared" si="7"/>
        <v>10.420000000000002</v>
      </c>
      <c r="D121" s="5">
        <f t="shared" si="8"/>
        <v>20.7</v>
      </c>
      <c r="E121" s="5">
        <v>15.56</v>
      </c>
      <c r="F121">
        <v>20</v>
      </c>
      <c r="G121" s="8">
        <v>20</v>
      </c>
      <c r="H121" s="8">
        <v>18</v>
      </c>
      <c r="I121" t="s">
        <v>88</v>
      </c>
      <c r="J121" t="s">
        <v>82</v>
      </c>
      <c r="K121" t="s">
        <v>86</v>
      </c>
      <c r="L121" s="5">
        <v>5.14</v>
      </c>
      <c r="N121" s="6"/>
      <c r="O121" s="5"/>
    </row>
    <row r="122" spans="1:15" x14ac:dyDescent="0.55000000000000004">
      <c r="A122" s="6" t="s">
        <v>26</v>
      </c>
      <c r="B122" s="6">
        <v>15.79</v>
      </c>
      <c r="C122" s="5">
        <f t="shared" si="7"/>
        <v>10.649999999999999</v>
      </c>
      <c r="D122" s="5">
        <f t="shared" si="8"/>
        <v>20.93</v>
      </c>
      <c r="E122" s="5">
        <v>15.79</v>
      </c>
      <c r="F122">
        <v>21</v>
      </c>
      <c r="G122" s="8">
        <v>21</v>
      </c>
      <c r="H122" s="8">
        <v>22</v>
      </c>
      <c r="I122" t="s">
        <v>88</v>
      </c>
      <c r="J122" t="s">
        <v>82</v>
      </c>
      <c r="K122" t="s">
        <v>86</v>
      </c>
      <c r="L122" s="5">
        <v>5.14</v>
      </c>
      <c r="N122" s="6"/>
      <c r="O122" s="5"/>
    </row>
    <row r="123" spans="1:15" x14ac:dyDescent="0.55000000000000004">
      <c r="A123" s="6" t="s">
        <v>31</v>
      </c>
      <c r="B123" s="6">
        <v>15.8</v>
      </c>
      <c r="C123" s="5">
        <f t="shared" si="7"/>
        <v>10.66</v>
      </c>
      <c r="D123" s="5">
        <f t="shared" si="8"/>
        <v>20.94</v>
      </c>
      <c r="E123" s="5">
        <v>10.66</v>
      </c>
      <c r="F123">
        <v>22</v>
      </c>
      <c r="G123" s="8">
        <v>12</v>
      </c>
      <c r="H123" s="8">
        <v>21</v>
      </c>
      <c r="I123" t="s">
        <v>88</v>
      </c>
      <c r="J123" t="s">
        <v>82</v>
      </c>
      <c r="K123" t="s">
        <v>86</v>
      </c>
      <c r="L123" s="5">
        <v>5.14</v>
      </c>
      <c r="N123" s="6"/>
      <c r="O123" s="5"/>
    </row>
    <row r="124" spans="1:15" x14ac:dyDescent="0.55000000000000004">
      <c r="A124" s="6" t="s">
        <v>46</v>
      </c>
      <c r="B124" s="6">
        <v>16.87</v>
      </c>
      <c r="C124" s="5">
        <f t="shared" si="7"/>
        <v>11.73</v>
      </c>
      <c r="D124" s="5">
        <f t="shared" si="8"/>
        <v>22.01</v>
      </c>
      <c r="E124" s="5">
        <v>16.87</v>
      </c>
      <c r="F124">
        <v>23</v>
      </c>
      <c r="G124" s="8">
        <v>22</v>
      </c>
      <c r="H124" s="8">
        <v>17</v>
      </c>
      <c r="I124" t="s">
        <v>88</v>
      </c>
      <c r="J124" t="s">
        <v>82</v>
      </c>
      <c r="K124" t="s">
        <v>86</v>
      </c>
      <c r="L124" s="5">
        <v>5.14</v>
      </c>
      <c r="N124" s="6"/>
      <c r="O124" s="5"/>
    </row>
    <row r="125" spans="1:15" x14ac:dyDescent="0.55000000000000004">
      <c r="A125" s="6" t="s">
        <v>47</v>
      </c>
      <c r="B125" s="6">
        <v>17.54</v>
      </c>
      <c r="C125" s="5">
        <f t="shared" si="7"/>
        <v>12.399999999999999</v>
      </c>
      <c r="D125" s="5">
        <f t="shared" si="8"/>
        <v>22.68</v>
      </c>
      <c r="E125" s="5">
        <v>22.68</v>
      </c>
      <c r="F125">
        <v>24</v>
      </c>
      <c r="G125" s="8">
        <v>24</v>
      </c>
      <c r="H125" s="8">
        <v>12</v>
      </c>
      <c r="I125" t="s">
        <v>88</v>
      </c>
      <c r="J125" t="s">
        <v>82</v>
      </c>
      <c r="K125" t="s">
        <v>86</v>
      </c>
      <c r="L125" s="5">
        <v>5.14</v>
      </c>
      <c r="N125" s="6"/>
      <c r="O125" s="5"/>
    </row>
    <row r="126" spans="1:15" x14ac:dyDescent="0.55000000000000004">
      <c r="A126" s="6" t="s">
        <v>43</v>
      </c>
      <c r="B126" s="6">
        <v>18.579999999999998</v>
      </c>
      <c r="C126" s="5">
        <f t="shared" si="7"/>
        <v>13.439999999999998</v>
      </c>
      <c r="D126" s="5">
        <f t="shared" si="8"/>
        <v>23.72</v>
      </c>
      <c r="E126" s="5">
        <v>23.72</v>
      </c>
      <c r="F126">
        <v>25</v>
      </c>
      <c r="G126" s="8">
        <v>25</v>
      </c>
      <c r="H126" s="8">
        <v>23</v>
      </c>
      <c r="I126" t="s">
        <v>88</v>
      </c>
      <c r="J126" t="s">
        <v>82</v>
      </c>
      <c r="K126" t="s">
        <v>86</v>
      </c>
      <c r="L126" s="5">
        <v>5.14</v>
      </c>
      <c r="N126" s="6"/>
      <c r="O126" s="5"/>
    </row>
  </sheetData>
  <sortState xmlns:xlrd2="http://schemas.microsoft.com/office/spreadsheetml/2017/richdata2" ref="N102:O126">
    <sortCondition ref="O102:O126"/>
  </sortState>
  <pageMargins left="0.7" right="0.7" top="0.75" bottom="0.75" header="0.3" footer="0.3"/>
  <pageSetup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Pre-Qualy_Model</vt:lpstr>
      <vt:lpstr>Post-Qualy_Model</vt:lpstr>
      <vt:lpstr>Pre-Qualy Results</vt:lpstr>
      <vt:lpstr>Post-Qualy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Palomino</dc:creator>
  <cp:lastModifiedBy>Ruben Palomino</cp:lastModifiedBy>
  <cp:lastPrinted>2026-03-06T22:48:31Z</cp:lastPrinted>
  <dcterms:created xsi:type="dcterms:W3CDTF">2026-02-25T20:35:48Z</dcterms:created>
  <dcterms:modified xsi:type="dcterms:W3CDTF">2026-04-20T14:57:49Z</dcterms:modified>
</cp:coreProperties>
</file>